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Methodology" sheetId="2" r:id="rId5"/>
    <sheet state="visible" name="Asset Inventory" sheetId="3" r:id="rId6"/>
    <sheet state="visible" name="Risk Register" sheetId="4" r:id="rId7"/>
    <sheet state="visible" name="Dashboard" sheetId="5" r:id="rId8"/>
    <sheet state="visible" name="NIST CSF Gap Analysis" sheetId="6" r:id="rId9"/>
    <sheet state="visible" name="Risk Justification Log" sheetId="7" r:id="rId10"/>
  </sheets>
  <definedNames/>
  <calcPr/>
  <extLst>
    <ext uri="GoogleSheetsCustomDataVersion2">
      <go:sheetsCustomData xmlns:go="http://customooxmlschemas.google.com/" r:id="rId11" roundtripDataChecksum="QafXaHKf33+1Q6LV+1v60vcx5HwOwH57lPtActiduNE="/>
    </ext>
  </extLst>
</workbook>
</file>

<file path=xl/sharedStrings.xml><?xml version="1.0" encoding="utf-8"?>
<sst xmlns="http://schemas.openxmlformats.org/spreadsheetml/2006/main" count="1012" uniqueCount="718">
  <si>
    <t>CloudSprout Inc. — Information Security Risk Assessment</t>
  </si>
  <si>
    <t>Risk Register Workbook | Prepared by: Alex Truong | June 2026</t>
  </si>
  <si>
    <t>Organization Name</t>
  </si>
  <si>
    <t>CloudSprout Inc.</t>
  </si>
  <si>
    <t>Industry</t>
  </si>
  <si>
    <t>B2B SaaS / E-Commerce Technology</t>
  </si>
  <si>
    <t>Headquarters</t>
  </si>
  <si>
    <t>Seattle, WA (Pioneer Square)</t>
  </si>
  <si>
    <t>Estimated Annual Revenue</t>
  </si>
  <si>
    <t>$3M – $5M ARR (estimated)</t>
  </si>
  <si>
    <t>Employee Count</t>
  </si>
  <si>
    <t>50 employees</t>
  </si>
  <si>
    <t>Customer Count</t>
  </si>
  <si>
    <t>~150 mid-market e-commerce brands (estimated)</t>
  </si>
  <si>
    <t>Regulatory Framework</t>
  </si>
  <si>
    <t>SOC 2 Type II (target); CCPA</t>
  </si>
  <si>
    <t>Assessment Framework</t>
  </si>
  <si>
    <t>NIST SP 800-30 Rev. 1</t>
  </si>
  <si>
    <t>Gap Analysis Framework</t>
  </si>
  <si>
    <t>NIST Cybersecurity Framework (CSF) 2.0</t>
  </si>
  <si>
    <t>Risk Scoring Model</t>
  </si>
  <si>
    <t>5x5 Likelihood x Impact Matrix</t>
  </si>
  <si>
    <t>Assessment Date</t>
  </si>
  <si>
    <t>Prepared By</t>
  </si>
  <si>
    <t>Alex Truong</t>
  </si>
  <si>
    <t>Document Status</t>
  </si>
  <si>
    <t>Mock Assessment – Portfolio Artifact</t>
  </si>
  <si>
    <t>MOCK ASSESSMENT: This workbook is a simulated professional artifact created for portfolio and professional development purposes only. CloudSprout Inc. is a fictional company. All findings, assets, personnel, and risk data are invented for educational purposes. No real organization, systems, or confidential data are referenced. This document is not affiliated with or endorsed by any real company.</t>
  </si>
  <si>
    <t>TABLE 1: LIKELIHOOD SCALE</t>
  </si>
  <si>
    <t>Score</t>
  </si>
  <si>
    <t>Rating</t>
  </si>
  <si>
    <t>Description</t>
  </si>
  <si>
    <t>Frequency Proxy</t>
  </si>
  <si>
    <t>Rare</t>
  </si>
  <si>
    <t>No known occurrences in this industry context. Theoretical.</t>
  </si>
  <si>
    <t>Once in 10+ years</t>
  </si>
  <si>
    <t>Unlikely</t>
  </si>
  <si>
    <t>Has occurred in sector but not commonly. Some protective controls exist.</t>
  </si>
  <si>
    <t>Once in 3-10 years</t>
  </si>
  <si>
    <t>Possible</t>
  </si>
  <si>
    <t>Could occur. Similar incidents documented in SaaS or startup contexts.</t>
  </si>
  <si>
    <t>Once in 1-3 years</t>
  </si>
  <si>
    <t>Likely</t>
  </si>
  <si>
    <t>Common threat pattern. Observed frequently in comparable organizations.</t>
  </si>
  <si>
    <t>Once or more per year</t>
  </si>
  <si>
    <t>Almost Certain</t>
  </si>
  <si>
    <t>Highly probable. Active exploits or known targeting of this environment.</t>
  </si>
  <si>
    <t>Multiple times per year</t>
  </si>
  <si>
    <t>TABLE 2: IMPACT SCALE</t>
  </si>
  <si>
    <t>Financial Impact</t>
  </si>
  <si>
    <t>Regulatory / Reputational Consequence</t>
  </si>
  <si>
    <t>Negligible</t>
  </si>
  <si>
    <t>&lt; $10K direct cost</t>
  </si>
  <si>
    <t>No regulatory trigger. Unlikely to reach customers.</t>
  </si>
  <si>
    <t>Minor</t>
  </si>
  <si>
    <t>$10K – $100K</t>
  </si>
  <si>
    <t>Possible customer notification. Low churn risk.</t>
  </si>
  <si>
    <t>Moderate</t>
  </si>
  <si>
    <t>$100K – $500K</t>
  </si>
  <si>
    <t>Regulatory inquiry possible. Moderate churn and PR impact.</t>
  </si>
  <si>
    <t>Major</t>
  </si>
  <si>
    <t>$500K – $2M</t>
  </si>
  <si>
    <t>Formal breach notification. Customer contract risk. Board-level.</t>
  </si>
  <si>
    <t>Catastrophic</t>
  </si>
  <si>
    <t>$2M+ or business-ending</t>
  </si>
  <si>
    <t>Regulatory fine + litigation. Enterprise deals lost. Possible shutdown.</t>
  </si>
  <si>
    <t>TABLE 3: RISK LEVEL BANDS</t>
  </si>
  <si>
    <t>Score Range</t>
  </si>
  <si>
    <t>Level</t>
  </si>
  <si>
    <t>Required Action</t>
  </si>
  <si>
    <t>Notification Threshold</t>
  </si>
  <si>
    <t>1 – 4</t>
  </si>
  <si>
    <t>Low</t>
  </si>
  <si>
    <t>Monitor annually. Document in register.</t>
  </si>
  <si>
    <t>No immediate escalation required.</t>
  </si>
  <si>
    <t>5 – 9</t>
  </si>
  <si>
    <t>Medium</t>
  </si>
  <si>
    <t>Assign owner. Remediate within 90-180 days.</t>
  </si>
  <si>
    <t>Report to IT/Security Lead.</t>
  </si>
  <si>
    <t>10 – 14</t>
  </si>
  <si>
    <t>High</t>
  </si>
  <si>
    <t>Prioritize. Remediation plan within 30-90 days.</t>
  </si>
  <si>
    <t>Report to VP Engineering + CEO.</t>
  </si>
  <si>
    <t>15 – 19</t>
  </si>
  <si>
    <t>Critical</t>
  </si>
  <si>
    <t>Immediate action. Executive-sponsored response.</t>
  </si>
  <si>
    <t>CEO + Board notification.</t>
  </si>
  <si>
    <t>20 – 25</t>
  </si>
  <si>
    <t>Extreme</t>
  </si>
  <si>
    <t>Emergency response. Halt affected operations.</t>
  </si>
  <si>
    <t>Full board + legal counsel.</t>
  </si>
  <si>
    <t>Asset ID</t>
  </si>
  <si>
    <t>Asset Name</t>
  </si>
  <si>
    <t>Asset Type</t>
  </si>
  <si>
    <t>Criticality</t>
  </si>
  <si>
    <t>Data Classification</t>
  </si>
  <si>
    <t>Owner (Role)</t>
  </si>
  <si>
    <t>NIST System Category</t>
  </si>
  <si>
    <t>Notes</t>
  </si>
  <si>
    <t>A-01</t>
  </si>
  <si>
    <t>CloudSprout SaaS Application</t>
  </si>
  <si>
    <t>Application</t>
  </si>
  <si>
    <t>Restricted</t>
  </si>
  <si>
    <t>VP Engineering</t>
  </si>
  <si>
    <t>Major Application</t>
  </si>
  <si>
    <t>Core product platform hosted on AWS. Multi-tenant B2B SaaS.</t>
  </si>
  <si>
    <t>A-02</t>
  </si>
  <si>
    <t>AWS Production Environment</t>
  </si>
  <si>
    <t>Infrastructure</t>
  </si>
  <si>
    <t>General Support System</t>
  </si>
  <si>
    <t>All production workloads run in AWS us-west-2. Includes EC2, RDS, S3, Lambda.</t>
  </si>
  <si>
    <t>A-03</t>
  </si>
  <si>
    <t>Customer Inventory &amp; Order Data</t>
  </si>
  <si>
    <t>Data Store</t>
  </si>
  <si>
    <t>Information Asset</t>
  </si>
  <si>
    <t>Core business data. Includes inventory volumes, order history, supplier contacts.</t>
  </si>
  <si>
    <t>A-04</t>
  </si>
  <si>
    <t>API Integration Tokens (Shopify/Amazon)</t>
  </si>
  <si>
    <t>OAuth tokens and API keys enabling third-party marketplace integrations.</t>
  </si>
  <si>
    <t>A-05</t>
  </si>
  <si>
    <t>Customer PII (Names, Emails, Addresses)</t>
  </si>
  <si>
    <t>Confidential</t>
  </si>
  <si>
    <t>VP Customer Success</t>
  </si>
  <si>
    <t>Business contact PII stored in application DB and CRM. CCPA-relevant.</t>
  </si>
  <si>
    <t>A-06</t>
  </si>
  <si>
    <t>AWS RDS (PostgreSQL)</t>
  </si>
  <si>
    <t>Primary relational database. Stores all application data.</t>
  </si>
  <si>
    <t>A-07</t>
  </si>
  <si>
    <t>AWS S3 Buckets</t>
  </si>
  <si>
    <t>Object storage used for file uploads, exports, and backups.</t>
  </si>
  <si>
    <t>A-08</t>
  </si>
  <si>
    <t>Internal Admin Dashboard</t>
  </si>
  <si>
    <t>Internal tooling for managing tenants, feature flags, and support access.</t>
  </si>
  <si>
    <t>A-09</t>
  </si>
  <si>
    <t>GitHub (Source Code Repository)</t>
  </si>
  <si>
    <t>Third-Party Interface</t>
  </si>
  <si>
    <t>Interconnected System</t>
  </si>
  <si>
    <t>All application source code. Includes CI/CD pipelines via GitHub Actions.</t>
  </si>
  <si>
    <t>A-10</t>
  </si>
  <si>
    <t>Stripe Payment Integration</t>
  </si>
  <si>
    <t>Finance Lead</t>
  </si>
  <si>
    <t>Payment processing outsourced to Stripe. CloudSprout holds no card data.</t>
  </si>
  <si>
    <t>A-11</t>
  </si>
  <si>
    <t>HubSpot CRM</t>
  </si>
  <si>
    <t>VP Sales</t>
  </si>
  <si>
    <t>Sales and customer success CRM. Contains prospect and customer contact data.</t>
  </si>
  <si>
    <t>A-12</t>
  </si>
  <si>
    <t>Google Workspace (Email/Docs/Drive)</t>
  </si>
  <si>
    <t>HR/Operations Lead</t>
  </si>
  <si>
    <t>Company email, collaboration, and document storage. All staff access.</t>
  </si>
  <si>
    <t>A-13</t>
  </si>
  <si>
    <t>Employee Laptops (MacOS fleet)</t>
  </si>
  <si>
    <t>Hardware</t>
  </si>
  <si>
    <t>Internal</t>
  </si>
  <si>
    <t>Approximately 50 laptops. Mix of company-issued and BYOD. MDM partial.</t>
  </si>
  <si>
    <t>A-14</t>
  </si>
  <si>
    <t>AWS IAM (Identity and Access Mgmt)</t>
  </si>
  <si>
    <t>Controls all access to AWS resources. Root account and IAM roles.</t>
  </si>
  <si>
    <t>A-15</t>
  </si>
  <si>
    <t>DataDog (Monitoring &amp; Logging)</t>
  </si>
  <si>
    <t>Application performance monitoring and log aggregation.</t>
  </si>
  <si>
    <t>A-16</t>
  </si>
  <si>
    <t>Supplier Contract Records</t>
  </si>
  <si>
    <t>Supplier terms and contact details uploaded by customers to the platform.</t>
  </si>
  <si>
    <t>A-17</t>
  </si>
  <si>
    <t>Confluence / Notion (Internal Wiki)</t>
  </si>
  <si>
    <t>Internal knowledge base. Contains runbooks, policies, and onboarding docs.</t>
  </si>
  <si>
    <t>Risk ID</t>
  </si>
  <si>
    <t>Risk Title</t>
  </si>
  <si>
    <t>Risk Description</t>
  </si>
  <si>
    <t>Threat Source
(NIST 800-30)</t>
  </si>
  <si>
    <t>Threat Event
(NIST 800-30)</t>
  </si>
  <si>
    <t>Affected Assets</t>
  </si>
  <si>
    <t>Vulnerability /
Predisposing Condition</t>
  </si>
  <si>
    <t>Likelihood
(1-5)</t>
  </si>
  <si>
    <t>Impact
(1-5)</t>
  </si>
  <si>
    <t>Inherent
Score</t>
  </si>
  <si>
    <t>Inherent
Level</t>
  </si>
  <si>
    <t>Existing Controls</t>
  </si>
  <si>
    <t>Control
Effectiveness</t>
  </si>
  <si>
    <t>Residual
Likelihood</t>
  </si>
  <si>
    <t>Residual
Impact</t>
  </si>
  <si>
    <t>Residual
Score</t>
  </si>
  <si>
    <t>Residual
Level</t>
  </si>
  <si>
    <t>Recommended Remediation</t>
  </si>
  <si>
    <t>Risk Owner
(Role)</t>
  </si>
  <si>
    <t>Treatment
Decision</t>
  </si>
  <si>
    <t>R-01</t>
  </si>
  <si>
    <t>Compromised Customer API Tokens</t>
  </si>
  <si>
    <t>A threat actor obtains OAuth tokens or API keys used to connect customer Shopify or Amazon Seller Central accounts, enabling unauthorized access to marketplace data.</t>
  </si>
  <si>
    <t>Adversarial</t>
  </si>
  <si>
    <t>Exfiltration of credentials via application vulnerability or phishing</t>
  </si>
  <si>
    <t>A-02, A-04, A-09</t>
  </si>
  <si>
    <t>API tokens stored in database without field-level encryption. No automatic token rotation policy.</t>
  </si>
  <si>
    <t>Basic access logging in place via DataDog. AWS Secrets Manager partially used.</t>
  </si>
  <si>
    <t>Implement field-level encryption for all stored tokens. Enforce token rotation every 90 days. Add anomalous API call alerting.</t>
  </si>
  <si>
    <t>Mitigate</t>
  </si>
  <si>
    <t>R-02</t>
  </si>
  <si>
    <t>Ransomware Attack on AWS Environment</t>
  </si>
  <si>
    <t>Ransomware or destructive malware encrypts or corrupts production AWS resources, causing service outage and potential data loss.</t>
  </si>
  <si>
    <t>Ransomware deployment via compromised credential or misconfigured service</t>
  </si>
  <si>
    <t>A-02, A-06, A-07</t>
  </si>
  <si>
    <t>No immutable backup strategy confirmed. IAM permissions potentially over-provisioned. No tested DR runbook.</t>
  </si>
  <si>
    <t>AWS automated backups enabled. DataDog alerting in place.</t>
  </si>
  <si>
    <t>Partial</t>
  </si>
  <si>
    <t>Enable S3 Object Lock for backup buckets. Implement least-privilege IAM review. Conduct annual DR tabletop exercise.</t>
  </si>
  <si>
    <t>R-03</t>
  </si>
  <si>
    <t>Misconfigured AWS S3 Bucket Exposes Customer Data</t>
  </si>
  <si>
    <t>An S3 bucket containing customer data or exports is inadvertently set to public, exposing sensitive business and PII data.</t>
  </si>
  <si>
    <t>Accidental</t>
  </si>
  <si>
    <t>Misconfiguration of cloud storage access controls</t>
  </si>
  <si>
    <t>A-02, A-03, A-07</t>
  </si>
  <si>
    <t>No automated S3 policy scanning. Bucket creation not gated by IaC review.</t>
  </si>
  <si>
    <t>Some manual review during deploys. No AWS Config or Security Hub enabled.</t>
  </si>
  <si>
    <t>Enable AWS Config with S3 public access rules. Block all public S3 access at the account level. Implement IaC (Terraform) for all bucket creation.</t>
  </si>
  <si>
    <t>R-04</t>
  </si>
  <si>
    <t>Phishing Attack Leads to Account Takeover</t>
  </si>
  <si>
    <t>An employee is successfully phished, resulting in credential compromise that grants an attacker access to Google Workspace, GitHub, or the AWS console.</t>
  </si>
  <si>
    <t>Social engineering / spear phishing targeting employees</t>
  </si>
  <si>
    <t>A-09, A-12, A-14</t>
  </si>
  <si>
    <t>No phishing simulation program. MFA not enforced uniformly across all systems. No security awareness training program.</t>
  </si>
  <si>
    <t>Google Workspace MFA available but not enforced. Some staff use hardware keys.</t>
  </si>
  <si>
    <t>Enforce MFA across all Google Workspace, GitHub, and AWS accounts. Deploy phishing simulation (e.g., KnowBe4). Conduct quarterly security awareness training.</t>
  </si>
  <si>
    <t>R-05</t>
  </si>
  <si>
    <t>Overprivileged IAM Roles Enable Lateral Movement</t>
  </si>
  <si>
    <t>AWS IAM roles assigned to developers or services have excessive permissions, allowing an attacker who compromises one account to escalate privileges or access unrelated resources.</t>
  </si>
  <si>
    <t>Privilege escalation via overprivileged identity</t>
  </si>
  <si>
    <t>A-02, A-14</t>
  </si>
  <si>
    <t>IAM roles assigned broadly during startup growth. No formal IAM access review process. No separation of prod and dev environments.</t>
  </si>
  <si>
    <t>Some role-based access in place. No automated entitlement review.</t>
  </si>
  <si>
    <t>Conduct immediate IAM access review. Implement least-privilege policy. Separate production and development AWS accounts. Automate quarterly access reviews.</t>
  </si>
  <si>
    <t>R-06</t>
  </si>
  <si>
    <t>Source Code Exfiltration via GitHub</t>
  </si>
  <si>
    <t>Proprietary application source code is accessed or exfiltrated due to a misconfigured repository, compromised developer credential, or accidental public repo exposure.</t>
  </si>
  <si>
    <t>Unauthorized access to source code repository</t>
  </si>
  <si>
    <t>No mandatory branch protection policies. Developer tokens may have broad repo access. No DLP controls on GitHub.</t>
  </si>
  <si>
    <t>GitHub private repos used. Some team-level access controls.</t>
  </si>
  <si>
    <t>Enforce branch protection rules. Implement GitHub org-level secret scanning. Rotate all personal access tokens annually. Restrict repo admin rights.</t>
  </si>
  <si>
    <t>R-07</t>
  </si>
  <si>
    <t>Third-Party SaaS Breach Affects Customer Data</t>
  </si>
  <si>
    <t>A breach at HubSpot, Google Workspace, or another SaaS vendor exposes customer PII or business data that CloudSprout has stored in those platforms.</t>
  </si>
  <si>
    <t>Structural</t>
  </si>
  <si>
    <t>Compromise of third-party service provider</t>
  </si>
  <si>
    <t>A-11, A-12</t>
  </si>
  <si>
    <t>No formal vendor security review process. Data minimization not enforced in CRM. No third-party risk management program.</t>
  </si>
  <si>
    <t>Contract terms with major vendors. Google Workspace BAA in place.</t>
  </si>
  <si>
    <t>Implement vendor risk questionnaire process. Review data stored in CRM and reduce to minimum necessary. Monitor vendor security advisories.</t>
  </si>
  <si>
    <t>Transfer</t>
  </si>
  <si>
    <t>R-08</t>
  </si>
  <si>
    <t>Lack of Security Awareness Training</t>
  </si>
  <si>
    <t>Employees take actions that inadvertently expose data or systems due to lack of formal security training, such as clicking phishing links, sharing credentials, or mishandling data.</t>
  </si>
  <si>
    <t>Unintentional misuse by authorized user</t>
  </si>
  <si>
    <t>A-12, A-13, A-17</t>
  </si>
  <si>
    <t>No formal security awareness training program in place. No onboarding security checklist.</t>
  </si>
  <si>
    <t>Informal guidance from engineering team. No documented training records.</t>
  </si>
  <si>
    <t>Implement annual security awareness training for all staff. Add security checklist to employee onboarding. Track completion.</t>
  </si>
  <si>
    <t>R-09</t>
  </si>
  <si>
    <t>No Formal Incident Response Plan</t>
  </si>
  <si>
    <t>In the event of a security incident, the organization lacks documented procedures for detection, containment, notification, and recovery, prolonging breach impact and regulatory exposure.</t>
  </si>
  <si>
    <t>Organizational process inadequacy</t>
  </si>
  <si>
    <t>A-02, A-03, A-06</t>
  </si>
  <si>
    <t>No written incident response plan. No defined roles for incident response. No breach notification procedure.</t>
  </si>
  <si>
    <t>Informal response handled by engineering team ad hoc.</t>
  </si>
  <si>
    <t>Draft and ratify an Incident Response Plan covering detection, containment, notification, and recovery. Assign IR roles. Conduct tabletop exercise within 90 days.</t>
  </si>
  <si>
    <t>CEO</t>
  </si>
  <si>
    <t>R-10</t>
  </si>
  <si>
    <t>Unmanaged Employee Devices (BYOD)</t>
  </si>
  <si>
    <t>Employee-owned devices used for work are not enrolled in MDM, may run outdated OS/software, and could be used to access company systems without adequate security controls.</t>
  </si>
  <si>
    <t>Device loss, theft, or malware on unmanaged endpoint</t>
  </si>
  <si>
    <t>A-13, A-12</t>
  </si>
  <si>
    <t>No formal MDM policy. Mix of company-issued and personal devices. No screen lock or disk encryption enforcement.</t>
  </si>
  <si>
    <t>Some devices on Jamf MDM. No formal enrollment requirement.</t>
  </si>
  <si>
    <t>Mandate MDM enrollment for all devices accessing company systems. Enforce disk encryption and screen lock. Define an Acceptable Use Policy.</t>
  </si>
  <si>
    <t>R-11</t>
  </si>
  <si>
    <t>No Data Retention or Deletion Policy</t>
  </si>
  <si>
    <t>Customer data is retained indefinitely without a defined retention schedule, creating unnecessary data exposure risk and complicating CCPA deletion requests.</t>
  </si>
  <si>
    <t>Absence of data governance controls</t>
  </si>
  <si>
    <t>A-03, A-05</t>
  </si>
  <si>
    <t>No data retention policy documented. No automated data deletion process. Customer offboarding may leave data in production DB.</t>
  </si>
  <si>
    <t>No current controls.</t>
  </si>
  <si>
    <t>None</t>
  </si>
  <si>
    <t>Draft a Data Retention and Deletion Policy. Implement automated data purge workflows for churned customers. Map data flows for CCPA compliance.</t>
  </si>
  <si>
    <t>CEO / Legal</t>
  </si>
  <si>
    <t>R-12</t>
  </si>
  <si>
    <t>Dependency Vulnerability in Application Code</t>
  </si>
  <si>
    <t>Open-source libraries or third-party packages used in the CloudSprout application contain known vulnerabilities that could be exploited to compromise the platform.</t>
  </si>
  <si>
    <t>Exploitation of known software vulnerability</t>
  </si>
  <si>
    <t>A-01, A-09</t>
  </si>
  <si>
    <t>No automated dependency scanning in CI/CD pipeline. Patch cadence for dependencies informal.</t>
  </si>
  <si>
    <t>Some manual dependency review. GitHub Dependabot alerts partially configured.</t>
  </si>
  <si>
    <t>Enable Dependabot or Snyk in CI/CD pipeline. Establish SLA for patching critical CVEs within 14 days. Track open vulnerabilities in backlog.</t>
  </si>
  <si>
    <t>R-13</t>
  </si>
  <si>
    <t>Inadequate Logging and Monitoring</t>
  </si>
  <si>
    <t>Insufficient logging across AWS services and the application means that security events may go undetected, and forensic investigation after an incident would be severely limited.</t>
  </si>
  <si>
    <t>Insufficient audit logging and monitoring coverage</t>
  </si>
  <si>
    <t>A-02, A-06, A-08</t>
  </si>
  <si>
    <t>CloudTrail not enabled in all regions. Application-level audit logs inconsistent. No SIEM or centralized log review.</t>
  </si>
  <si>
    <t>DataDog in use for application performance. CloudTrail partially configured.</t>
  </si>
  <si>
    <t>Enable AWS CloudTrail in all regions. Define logging requirements for application events. Configure alerts for high-risk events (root login, IAM changes, large data exports).</t>
  </si>
  <si>
    <t>R-14</t>
  </si>
  <si>
    <t>Customer Data Commingled Across Tenants</t>
  </si>
  <si>
    <t>A misconfiguration or application bug in the multi-tenant architecture allows one customer to access another customer's inventory or business data.</t>
  </si>
  <si>
    <t>Logical access control failure in multi-tenant environment</t>
  </si>
  <si>
    <t>A-01, A-03, A-06</t>
  </si>
  <si>
    <t>No documented tenant isolation testing. Penetration test has never been conducted. Row-level security model not formally validated.</t>
  </si>
  <si>
    <t>Standard multi-tenant app architecture. Code reviews in place.</t>
  </si>
  <si>
    <t>Commission a web application penetration test focused on tenant isolation. Implement row-level security validation in automated test suite. Add tenant boundary testing to release checklist.</t>
  </si>
  <si>
    <t>R-15</t>
  </si>
  <si>
    <t>No Formal Access Control Policy</t>
  </si>
  <si>
    <t>Lack of a documented access control policy means onboarding and offboarding processes are inconsistent, potentially leaving former employees with active access to systems.</t>
  </si>
  <si>
    <t>Inadequate access lifecycle management</t>
  </si>
  <si>
    <t>No written access control or offboarding procedure. Access reviews never formally conducted.</t>
  </si>
  <si>
    <t>HR-driven offboarding checklist exists informally.</t>
  </si>
  <si>
    <t>Document an Access Control Policy. Create a formal offboarding checklist with IT sign-off. Conduct an immediate access audit for former employees.</t>
  </si>
  <si>
    <t>RISK SUMMARY</t>
  </si>
  <si>
    <t>Inherent Count</t>
  </si>
  <si>
    <t>Residual Count</t>
  </si>
  <si>
    <t>Change</t>
  </si>
  <si>
    <t>CloudSprout Inc. — Risk Assessment Dashboard | June 2026</t>
  </si>
  <si>
    <t>SECTION 1: RISK DISTRIBUTION</t>
  </si>
  <si>
    <t>Inherent</t>
  </si>
  <si>
    <t>Residual</t>
  </si>
  <si>
    <t>Total</t>
  </si>
  <si>
    <t>SECTION 2: TOP 5 RISKS BY RESIDUAL SCORE</t>
  </si>
  <si>
    <t>Inherent Score</t>
  </si>
  <si>
    <t>Inherent Level</t>
  </si>
  <si>
    <t>Residual Score</t>
  </si>
  <si>
    <t>Residual Level</t>
  </si>
  <si>
    <t>Primary Action</t>
  </si>
  <si>
    <t>Encrypt API tokens; enforce rotation</t>
  </si>
  <si>
    <t>Enforce MFA across all Google Workspace, GitHub, and AWS acc</t>
  </si>
  <si>
    <t>Enable S3 Object Lock; test DR</t>
  </si>
  <si>
    <t>Commission penetration test</t>
  </si>
  <si>
    <t>Enable AWS Config with S3 public access rules. Block all public</t>
  </si>
  <si>
    <t>SECTION 3: KEY OBSERVATIONS</t>
  </si>
  <si>
    <t>1. The risk profile is consistent with a Series A-stage SaaS company that has prioritized speed to market over formal security governance. Seven of fifteen risks carry a High or Critical inherent score.</t>
  </si>
  <si>
    <t>2. The absence of a security awareness training program is the single most cross-cutting gap. It contributes to elevated likelihood scores on five separate risks.</t>
  </si>
  <si>
    <t>3. AWS IAM hygiene is the most urgent technical remediation. Overprivileged roles, lack of production/dev account separation, and incomplete MFA enforcement create a layered attack surface across the cloud environment.</t>
  </si>
  <si>
    <t>4. The organization holds no cardholder data (Stripe handles payments), which significantly reduces PCI-DSS exposure. The primary regulatory risk is CCPA due to stored customer PII and the absence of a data retention policy.</t>
  </si>
  <si>
    <t>5. Multi-tenant data isolation (R-14) is the highest-impact residual risk at a score of 8. A single tenant isolation failure would be catastrophic to enterprise sales pipeline and SOC 2 readiness.</t>
  </si>
  <si>
    <t>6. No penetration test has ever been conducted. For an organization targeting enterprise customers and SOC 2 certification, annual pen testing is an expected baseline control.</t>
  </si>
  <si>
    <t>7. With focused effort across IAM, MFA enforcement, and security training, the organization can reduce the average residual risk score by an estimated 25-30% within one year. This is a realistic and achievable improvement horizon.</t>
  </si>
  <si>
    <t>SECTION 4: PRIORITY ACTION TIMELINE</t>
  </si>
  <si>
    <t>Horizon</t>
  </si>
  <si>
    <t>Action</t>
  </si>
  <si>
    <t>Related Risk(s)</t>
  </si>
  <si>
    <t>0 – 30 Days</t>
  </si>
  <si>
    <t>Enforce MFA across all AWS, GitHub, and Google Workspace accounts</t>
  </si>
  <si>
    <t>R-04, R-05</t>
  </si>
  <si>
    <t>Conduct IAM access review; remove overprivileged roles</t>
  </si>
  <si>
    <t>Block all public S3 access at AWS account level</t>
  </si>
  <si>
    <t>Enable AWS CloudTrail in all regions</t>
  </si>
  <si>
    <t>30 – 90 Days</t>
  </si>
  <si>
    <t>Draft and ratify Incident Response Plan; assign IR roles</t>
  </si>
  <si>
    <t>Enable Dependabot or Snyk in CI/CD pipeline</t>
  </si>
  <si>
    <t>Implement field-level encryption for stored API tokens</t>
  </si>
  <si>
    <t>Commission web application penetration test</t>
  </si>
  <si>
    <t>90 – 180 Days</t>
  </si>
  <si>
    <t>Deploy security awareness training for all staff</t>
  </si>
  <si>
    <t>Draft Data Retention and Deletion Policy</t>
  </si>
  <si>
    <t>Implement MDM enrollment requirement for all devices</t>
  </si>
  <si>
    <t>Enable S3 Object Lock for backup buckets; test DR runbook</t>
  </si>
  <si>
    <t>Ongoing</t>
  </si>
  <si>
    <t>Conduct quarterly IAM access reviews</t>
  </si>
  <si>
    <t>R-05, R-15</t>
  </si>
  <si>
    <t>Run monthly phishing simulation exercises</t>
  </si>
  <si>
    <t>R-04, R-08</t>
  </si>
  <si>
    <t>Review and patch critical CVEs within 14-day SLA</t>
  </si>
  <si>
    <t>Monitor vendor security advisories for SaaS tools</t>
  </si>
  <si>
    <t>CSF Function</t>
  </si>
  <si>
    <t>Category ID</t>
  </si>
  <si>
    <t>Category Description</t>
  </si>
  <si>
    <t>Assumed Current State</t>
  </si>
  <si>
    <t>Maturity
(1-5)</t>
  </si>
  <si>
    <t>Gap Description</t>
  </si>
  <si>
    <t>Related Risk IDs</t>
  </si>
  <si>
    <t>FUNCTION: GOVERN</t>
  </si>
  <si>
    <t>GOVERN</t>
  </si>
  <si>
    <t>GV.OC-01</t>
  </si>
  <si>
    <t>Organizational mission and business context inform cybersecurity objectives</t>
  </si>
  <si>
    <t>Security has not been formally connected to business strategy. Leadership is aware of risk but no documented security objectives exist.</t>
  </si>
  <si>
    <t>No written information security policy or cybersecurity strategy.</t>
  </si>
  <si>
    <t>All</t>
  </si>
  <si>
    <t>GV.OC-02</t>
  </si>
  <si>
    <t>Internal and external stakeholder expectations are understood and considered</t>
  </si>
  <si>
    <t>Customer contract requirements are known to sales but not formally captured in a risk or compliance context.</t>
  </si>
  <si>
    <t>No formal process for capturing stakeholder security requirements.</t>
  </si>
  <si>
    <t>GV.RM-01</t>
  </si>
  <si>
    <t>Risk management strategy is established, communicated, and reviewed</t>
  </si>
  <si>
    <t>No formal risk management strategy exists. Risk decisions are made ad hoc by the VP of Engineering.</t>
  </si>
  <si>
    <t>No documented risk appetite statement or risk management policy.</t>
  </si>
  <si>
    <t>GV.RM-02</t>
  </si>
  <si>
    <t>Risk tolerance is determined, communicated, and reviewed</t>
  </si>
  <si>
    <t>Implicit risk tolerance only. No board or executive-level risk appetite statement exists.</t>
  </si>
  <si>
    <t>No risk acceptance criteria. Treatment decisions made informally with no documentation.</t>
  </si>
  <si>
    <t>R-01, R-14</t>
  </si>
  <si>
    <t>GV.SC-01</t>
  </si>
  <si>
    <t>Cybersecurity supply chain risk management is integrated into organization-wide risk management</t>
  </si>
  <si>
    <t>No vendor security review process. SaaS tools adopted without security evaluation.</t>
  </si>
  <si>
    <t>No vendor risk management program or security questionnaire process.</t>
  </si>
  <si>
    <t>GV.SC-02</t>
  </si>
  <si>
    <t>Cybersecurity roles and responsibilities for suppliers and customers are established</t>
  </si>
  <si>
    <t>Third-party integrations are known but not formally inventoried from a risk perspective.</t>
  </si>
  <si>
    <t>No formal third-party inventory. No periodic vendor security review cycle.</t>
  </si>
  <si>
    <t>GV.PO-01</t>
  </si>
  <si>
    <t>Policy for managing cybersecurity risks is established, communicated, and enforced</t>
  </si>
  <si>
    <t>No formal information security policy of any kind exists.</t>
  </si>
  <si>
    <t>No written security policy, acceptable use policy, or access control policy.</t>
  </si>
  <si>
    <t>R-08, R-15</t>
  </si>
  <si>
    <t>GV.PO-02</t>
  </si>
  <si>
    <t>Cybersecurity roles and responsibilities are established and communicated</t>
  </si>
  <si>
    <t>Engineering team manages security informally. No CISO or dedicated security role exists.</t>
  </si>
  <si>
    <t>No formal security role assignments. Responsibility diffused across VP Engineering.</t>
  </si>
  <si>
    <t>FUNCTION: IDENTIFY</t>
  </si>
  <si>
    <t>IDENTIFY</t>
  </si>
  <si>
    <t>ID.AM-01</t>
  </si>
  <si>
    <t>Assets that enable the organization to achieve business purposes are identified and managed</t>
  </si>
  <si>
    <t>Laptop inventory maintained informally by HR. No formal hardware CMDB or asset management tool.</t>
  </si>
  <si>
    <t>No formal asset management system integrated with security processes.</t>
  </si>
  <si>
    <t>R-10, R-13</t>
  </si>
  <si>
    <t>ID.AM-02</t>
  </si>
  <si>
    <t>Inventories of software, services, and systems are maintained</t>
  </si>
  <si>
    <t>Developers know the technology stack but no formal software inventory exists.</t>
  </si>
  <si>
    <t>No CMDB or software asset management tool. Inventory exists only in engineer memory.</t>
  </si>
  <si>
    <t>ID.AM-03</t>
  </si>
  <si>
    <t>Representations of the organization's authorized network communication and data flows are maintained</t>
  </si>
  <si>
    <t>Data flows are understood by engineering but not formally documented.</t>
  </si>
  <si>
    <t>No data flow diagram. PII and API token flows not mapped across systems.</t>
  </si>
  <si>
    <t>R-01, R-11</t>
  </si>
  <si>
    <t>ID.AM-05</t>
  </si>
  <si>
    <t>Assets are prioritized based on classification, criticality, resources, and impact on the mission</t>
  </si>
  <si>
    <t>No formal data classification scheme applied to assets prior to this assessment.</t>
  </si>
  <si>
    <t>No data classification policy. Restricted and Confidential data handled without distinction.</t>
  </si>
  <si>
    <t>R-03, R-05</t>
  </si>
  <si>
    <t>ID.RA-01</t>
  </si>
  <si>
    <t>Vulnerabilities in assets are identified, validated, and recorded</t>
  </si>
  <si>
    <t>GitHub Dependabot partially enabled. No AWS Config, Security Hub, or vulnerability scanner.</t>
  </si>
  <si>
    <t>Vulnerability identification is incomplete and not systematic across all assets.</t>
  </si>
  <si>
    <t>R-12, R-13</t>
  </si>
  <si>
    <t>ID.RA-02</t>
  </si>
  <si>
    <t>Cyber threat intelligence is received from information sharing forums and sources</t>
  </si>
  <si>
    <t>No formal threat intelligence program. Informal awareness from engineering team only.</t>
  </si>
  <si>
    <t>No subscription to threat feeds. No structured threat analysis process.</t>
  </si>
  <si>
    <t>R-01, R-04</t>
  </si>
  <si>
    <t>ID.RA-03</t>
  </si>
  <si>
    <t>Internal and external threats to the organization are identified and recorded</t>
  </si>
  <si>
    <t>Threats identified as part of this assessment only. No recurring identification process.</t>
  </si>
  <si>
    <t>No formal threat identification process prior to this engagement.</t>
  </si>
  <si>
    <t>ID.RA-06</t>
  </si>
  <si>
    <t>Risks to the organization's objectives are prioritized and communicated</t>
  </si>
  <si>
    <t>No risk register or prioritization process existed prior to this assessment.</t>
  </si>
  <si>
    <t>No documented risk treatment decisions. No risk register maintained.</t>
  </si>
  <si>
    <t>ID.IM-01</t>
  </si>
  <si>
    <t>Improvements are identified from security assessments</t>
  </si>
  <si>
    <t>No formal security evaluation or improvement cycle in place.</t>
  </si>
  <si>
    <t>No security review cadence. No post-incident lessons learned process.</t>
  </si>
  <si>
    <t>FUNCTION: PROTECT</t>
  </si>
  <si>
    <t>PROTECT</t>
  </si>
  <si>
    <t>PR.AA-01</t>
  </si>
  <si>
    <t>Identities and credentials for authorized users, services, and hardware are managed</t>
  </si>
  <si>
    <t>Google Workspace and GitHub accounts exist. MFA available but not enforced uniformly.</t>
  </si>
  <si>
    <t>No uniform MFA enforcement. No privileged access management program.</t>
  </si>
  <si>
    <t>PR.AA-02</t>
  </si>
  <si>
    <t>Identities are proofed and bound to credentials based on the context of interactions</t>
  </si>
  <si>
    <t>Authentication in place for all major systems. MFA gap remains on several accounts.</t>
  </si>
  <si>
    <t>Incomplete MFA coverage. No hardware token requirement for privileged access.</t>
  </si>
  <si>
    <t>PR.AA-03</t>
  </si>
  <si>
    <t>Users, services, and hardware are authenticated</t>
  </si>
  <si>
    <t>Standard password plus optional MFA across most systems.</t>
  </si>
  <si>
    <t>MFA not enforced. Some accounts rely on password only.</t>
  </si>
  <si>
    <t>PR.AA-05</t>
  </si>
  <si>
    <t>Access permissions, entitlements, and authorizations are defined in a policy, managed, enforced, and reviewed</t>
  </si>
  <si>
    <t>No formal access review process. No offboarding verification step in HR process.</t>
  </si>
  <si>
    <t>No access recertification cycle. Former employee accounts may remain active.</t>
  </si>
  <si>
    <t>PR.DS-01</t>
  </si>
  <si>
    <t>The confidentiality, integrity, and availability of data-at-rest are protected</t>
  </si>
  <si>
    <t>AWS encryption-at-rest enabled for RDS and S3. API tokens not field-level encrypted.</t>
  </si>
  <si>
    <t>Field-level encryption for stored API tokens is missing. Partial control only.</t>
  </si>
  <si>
    <t>PR.DS-02</t>
  </si>
  <si>
    <t>The confidentiality, integrity, and availability of data-in-transit are protected</t>
  </si>
  <si>
    <t>TLS enforced across all application endpoints.</t>
  </si>
  <si>
    <t>Minor gap: internal service-to-service communication not fully verified.</t>
  </si>
  <si>
    <t>PR.DS-10</t>
  </si>
  <si>
    <t>Data is managed through its life cycle</t>
  </si>
  <si>
    <t>No data retention or deletion policy. No automated purge workflows.</t>
  </si>
  <si>
    <t>Customer data retained indefinitely. No process for honoring CCPA deletion requests.</t>
  </si>
  <si>
    <t>PR.PS-01</t>
  </si>
  <si>
    <t>Configuration management practices are established and applied</t>
  </si>
  <si>
    <t>Infrastructure deployed via mix of manual console actions and partial IaC. No formal baseline.</t>
  </si>
  <si>
    <t>No configuration management baseline. S3 policies not enforced through IaC.</t>
  </si>
  <si>
    <t>PR.PS-02</t>
  </si>
  <si>
    <t>Software is maintained, replaced, and removed commensurate with risk</t>
  </si>
  <si>
    <t>OS and dependency patching informal. No SLA for critical CVE remediation.</t>
  </si>
  <si>
    <t>No formal patch management policy. Dependabot alerts not consistently actioned.</t>
  </si>
  <si>
    <t>PR.IR-01</t>
  </si>
  <si>
    <t>Response to incidents is managed</t>
  </si>
  <si>
    <t>No written incident response plan exists.</t>
  </si>
  <si>
    <t>No documented IR plan. No defined roles, procedures, or notification thresholds.</t>
  </si>
  <si>
    <t>PR.AT-01</t>
  </si>
  <si>
    <t>Personnel are provided with awareness and training so that they possess the knowledge and skills to perform general tasks with cybersecurity risks in mind</t>
  </si>
  <si>
    <t>No formal security awareness training program in place.</t>
  </si>
  <si>
    <t>No security awareness training. No phishing simulation program.</t>
  </si>
  <si>
    <t>FUNCTION: DETECT</t>
  </si>
  <si>
    <t>DETECT</t>
  </si>
  <si>
    <t>DE.AE-02</t>
  </si>
  <si>
    <t>Potentially adverse events are analyzed to better characterize them</t>
  </si>
  <si>
    <t>DataDog monitors application performance. No security-specific alerting rules defined.</t>
  </si>
  <si>
    <t>Monitoring is performance-focused, not security-focused. No anomaly detection for access patterns.</t>
  </si>
  <si>
    <t>DE.AE-03</t>
  </si>
  <si>
    <t>Information is correlated from multiple sources</t>
  </si>
  <si>
    <t>Logs exist in DataDog and CloudWatch but are not centrally correlated.</t>
  </si>
  <si>
    <t>No SIEM or log correlation. Multi-source security analysis is not possible in current setup.</t>
  </si>
  <si>
    <t>DE.AE-06</t>
  </si>
  <si>
    <t>Information on adverse events is provided to authorized staff and tools</t>
  </si>
  <si>
    <t>No defined process for alerting security or executive stakeholders of events.</t>
  </si>
  <si>
    <t>No alert routing to security-accountable roles. Events surface only if engineering notices.</t>
  </si>
  <si>
    <t>R-09, R-13</t>
  </si>
  <si>
    <t>DE.CM-01</t>
  </si>
  <si>
    <t>Networks and network services are monitored to find potentially adverse events</t>
  </si>
  <si>
    <t>CloudWatch metrics exist. No VPC flow logs enabled.</t>
  </si>
  <si>
    <t>VPC flow logs not enabled. Network-level monitoring is incomplete.</t>
  </si>
  <si>
    <t>R-02, R-13</t>
  </si>
  <si>
    <t>DE.CM-03</t>
  </si>
  <si>
    <t>Personnel activity and technology usage are monitored to find potentially adverse events</t>
  </si>
  <si>
    <t>No user behavior monitoring. No DLP controls in place.</t>
  </si>
  <si>
    <t>No monitoring of data access patterns or anomalous user behavior across systems.</t>
  </si>
  <si>
    <t>R-01, R-06</t>
  </si>
  <si>
    <t>DE.CM-09</t>
  </si>
  <si>
    <t>Computing hardware and software, runtime environments, and their data are monitored to find potentially adverse events</t>
  </si>
  <si>
    <t>No automated vulnerability scanning of the production environment.</t>
  </si>
  <si>
    <t>No DAST or infrastructure scanning. Dependabot only partially configured.</t>
  </si>
  <si>
    <t>R-12, R-14</t>
  </si>
  <si>
    <t>FUNCTION: RESPOND</t>
  </si>
  <si>
    <t>RESPOND</t>
  </si>
  <si>
    <t>RS.MA-01</t>
  </si>
  <si>
    <t>Incidents are triaged to understand scope, severity, and impact</t>
  </si>
  <si>
    <t>No formal IR plan. No incident classification framework.</t>
  </si>
  <si>
    <t>No documented triage procedure. Response depends entirely on individual judgment.</t>
  </si>
  <si>
    <t>RS.MA-03</t>
  </si>
  <si>
    <t>Incidents are categorized and prioritized</t>
  </si>
  <si>
    <t>No incident severity levels or escalation criteria defined.</t>
  </si>
  <si>
    <t>No classification framework. No escalation path from detected event to leadership.</t>
  </si>
  <si>
    <t>RS.CO-02</t>
  </si>
  <si>
    <t>Internal and external stakeholders are notified of incidents in a timely manner</t>
  </si>
  <si>
    <t>No defined internal notification procedure exists.</t>
  </si>
  <si>
    <t>No escalation path from detected event to executive or legal notification.</t>
  </si>
  <si>
    <t>RS.CO-03</t>
  </si>
  <si>
    <t>Information is shared with designated internal and external stakeholders</t>
  </si>
  <si>
    <t>No process for regulatory or customer breach notification.</t>
  </si>
  <si>
    <t>No CCPA breach notification procedure. No customer communication template.</t>
  </si>
  <si>
    <t>R-09, R-11</t>
  </si>
  <si>
    <t>RS.AN-03</t>
  </si>
  <si>
    <t>Analysis is performed to establish what has taken place during an incident and the root cause of the incident</t>
  </si>
  <si>
    <t>No formal post-incident review process in place.</t>
  </si>
  <si>
    <t>No requirement to conduct root cause analysis after security incidents.</t>
  </si>
  <si>
    <t>RS.MI-01</t>
  </si>
  <si>
    <t>Incidents are contained</t>
  </si>
  <si>
    <t>Containment would be entirely ad hoc. No predefined containment playbooks.</t>
  </si>
  <si>
    <t>No containment procedures for common scenarios: account compromise, data exposure, ransomware.</t>
  </si>
  <si>
    <t>R-02, R-04</t>
  </si>
  <si>
    <t>FUNCTION: RECOVER</t>
  </si>
  <si>
    <t>RECOVER</t>
  </si>
  <si>
    <t>RC.RP-01</t>
  </si>
  <si>
    <t>The recovery portion of the incident response plan is executed once initiated</t>
  </si>
  <si>
    <t>No formal recovery plan. AWS backups exist but recovery procedure not documented or tested.</t>
  </si>
  <si>
    <t>AWS automated backups provide some capability but no DR runbook exists.</t>
  </si>
  <si>
    <t>RC.RP-02</t>
  </si>
  <si>
    <t>Recovery actions are selected, scoped, approved, and performed</t>
  </si>
  <si>
    <t>Recovery decisions would be made ad hoc during an incident.</t>
  </si>
  <si>
    <t>No pre-approved recovery actions. No decision authority defined for recovery scenarios.</t>
  </si>
  <si>
    <t>R-02, R-09</t>
  </si>
  <si>
    <t>RC.CO-03</t>
  </si>
  <si>
    <t>Recovery activities and progress in restoring operation are communicated to designated internal and external stakeholders</t>
  </si>
  <si>
    <t>No communications plan for recovery status exists.</t>
  </si>
  <si>
    <t>No procedure for notifying customers or stakeholders during a recovery event.</t>
  </si>
  <si>
    <t>MATURITY RATING LEGEND</t>
  </si>
  <si>
    <t>Label</t>
  </si>
  <si>
    <t>No formal control</t>
  </si>
  <si>
    <t>Activity is entirely ad hoc. No documentation. No repeatable process.</t>
  </si>
  <si>
    <t>Informal / Partial</t>
  </si>
  <si>
    <t>Some activity exists but is undocumented or inconsistently applied.</t>
  </si>
  <si>
    <t>Defined</t>
  </si>
  <si>
    <t>Control is documented and consistently applied but not measured.</t>
  </si>
  <si>
    <t>Measured</t>
  </si>
  <si>
    <t>Control is in place, measured, and reported on regularly.</t>
  </si>
  <si>
    <t>Optimized</t>
  </si>
  <si>
    <t>Control is continuously improved based on measurement and feedback.</t>
  </si>
  <si>
    <t>PRIORITY GAP SUMMARY — TOP 12 GAPS BY RISK IMPACT</t>
  </si>
  <si>
    <t>Rank</t>
  </si>
  <si>
    <t>Related Risks</t>
  </si>
  <si>
    <t>Recommended Action</t>
  </si>
  <si>
    <t>Target Timeline</t>
  </si>
  <si>
    <t>No MFA enforcement across AWS, GitHub, and Google Workspace</t>
  </si>
  <si>
    <t>Enforce MFA for all users on all critical systems</t>
  </si>
  <si>
    <t>0-30 Days</t>
  </si>
  <si>
    <t>IAM roles overprivileged; no access review process</t>
  </si>
  <si>
    <t>IAM review; enforce least-privilege; quarterly recertification</t>
  </si>
  <si>
    <t>No information security policy or risk management framework</t>
  </si>
  <si>
    <t>Draft security policy and risk appetite statement</t>
  </si>
  <si>
    <t>30-90 Days</t>
  </si>
  <si>
    <t>No incident response plan</t>
  </si>
  <si>
    <t>Draft IR plan with roles, severity levels, and notification steps</t>
  </si>
  <si>
    <t>No security awareness training program</t>
  </si>
  <si>
    <t>Deploy annual training and monthly phishing simulations</t>
  </si>
  <si>
    <t>No penetration test ever conducted</t>
  </si>
  <si>
    <t>Commission external web application penetration test</t>
  </si>
  <si>
    <t>Insufficient security-focused logging; CloudTrail gaps</t>
  </si>
  <si>
    <t>Enable CloudTrail all regions; define security alert thresholds</t>
  </si>
  <si>
    <t>API tokens stored without field-level encryption</t>
  </si>
  <si>
    <t>Implement field-level encryption; enforce 90-day token rotation</t>
  </si>
  <si>
    <t>No vendor risk management program</t>
  </si>
  <si>
    <t>Implement vendor questionnaire for all SaaS tools</t>
  </si>
  <si>
    <t>90-180 Days</t>
  </si>
  <si>
    <t>No data retention or deletion policy</t>
  </si>
  <si>
    <t>Draft policy; implement automated purge workflows</t>
  </si>
  <si>
    <t>No vulnerability scanning in CI/CD pipeline</t>
  </si>
  <si>
    <t>Enable Dependabot or Snyk; enforce 14-day SLA for critical CVEs</t>
  </si>
  <si>
    <t>No configuration management baseline; manual S3 provisioning</t>
  </si>
  <si>
    <t>Migrate to Terraform; enforce config through code review</t>
  </si>
  <si>
    <t>OVERALL MATURITY ASSESSMENT — NIST CSF 2.0 TIER RATING</t>
  </si>
  <si>
    <t>Dimension</t>
  </si>
  <si>
    <t>Rating / Target</t>
  </si>
  <si>
    <t>Current Tier</t>
  </si>
  <si>
    <t>Tier 1: Partial</t>
  </si>
  <si>
    <t>Risk management practices are not formalized. Cybersecurity activities are ad hoc. Security awareness is limited to the engineering team.</t>
  </si>
  <si>
    <t>Target Tier</t>
  </si>
  <si>
    <t>Tier 2: Risk Informed</t>
  </si>
  <si>
    <t>Risk management practices approved by leadership. Risk-informed decisions made consistently. Organization can articulate security posture to an external auditor.</t>
  </si>
  <si>
    <t>Realistic Timeline</t>
  </si>
  <si>
    <t>6 to 12 months</t>
  </si>
  <si>
    <t>Achievable without dedicated security headcount if priority actions in this assessment are executed in sequence.</t>
  </si>
  <si>
    <t>SOC 2 Type II Path</t>
  </si>
  <si>
    <t>18 months from now</t>
  </si>
  <si>
    <t>SOC 2 Type II requires a 6-month observation period after controls are in place. Controls must be established first. Earliest realistic clean opinion: 18 months from engagement start.</t>
  </si>
  <si>
    <t>Rated 4 (Likely). Credential theft and API key exfiltration are among the most commonly reported attack vectors in SaaS environments per CISA advisories. OAuth token abuse is specifically documented in cloud-native supply chain incidents.</t>
  </si>
  <si>
    <t>Rated 5 (Catastrophic). Compromised marketplace tokens give attackers direct access to customer Shopify and Amazon accounts, creating liability that extends beyond CloudSprout to third-party platforms. Contract loss risk is very high.</t>
  </si>
  <si>
    <t>Existing controls rated Low effectiveness. DataDog logging captures volume but not semantic anomalies. Partial Secrets Manager use means tokens may still reside in environment variables or config files.</t>
  </si>
  <si>
    <t>Residual score 12 (High). Encryption and rotation policy would reduce likelihood to 3, and detection controls would reduce impact to 4, yielding 12. Score reflects that token security is a multi-step program, not a single fix.</t>
  </si>
  <si>
    <t>NIST CSF PR.DS-1, PR.DS-2; NIST SP 800-30 Table D-2</t>
  </si>
  <si>
    <t>Rated 3 (Possible). Ransomware targeting cloud-native startups is documented but less frequent than targeting on-premise environments. Verizon DBIR 2023 shows ransomware in approximately 24% of breaches across all sectors. A startup's AWS footprint is lower-profile than enterprise targets.</t>
  </si>
  <si>
    <t>Rated 5 (Catastrophic). Total or partial encryption of the production AWS environment would cause complete service outage, potential data loss, and likely breach of customer SLAs. For a 50-person SaaS company, a multi-day outage could be business-ending.</t>
  </si>
  <si>
    <t>Partial effectiveness. AWS automated snapshots provide some recovery capability but immutable backups have not been confirmed. No tested DR runbook means recovery time is unknown and likely extended.</t>
  </si>
  <si>
    <t>Residual score 8 (Medium). Immutable backups, least-privilege IAM, and a tested DR plan would reduce impact confidence to 4 and likelihood to 2, yielding 8. Controls must be proven, not just in place.</t>
  </si>
  <si>
    <t>NIST CSF RC.RP-1, PR.IP-4; NIST SP 800-30 Table E-2</t>
  </si>
  <si>
    <t>Misconfigured S3 Bucket</t>
  </si>
  <si>
    <t>Rated 3 (Possible). S3 misconfiguration is one of the most frequently reported cloud exposure types. AWS itself has issued guidance multiple times. Organizations without IaC or Config enforcement routinely create exposed buckets.</t>
  </si>
  <si>
    <t>Rated 4 (Major). Public exposure of customer data would trigger CCPA notification obligations, damage enterprise sales conversations, and potentially violate customer data processing agreements.</t>
  </si>
  <si>
    <t>Low effectiveness. Manual deploy review is insufficient at development velocity. No automated scanning means a misconfiguration could persist for weeks.</t>
  </si>
  <si>
    <t>Residual score 6 (Medium). AWS account-level S3 block settings reduce likelihood to near-certain prevention for public exposure, bringing likelihood to 2 and impact to 3, yielding 6.</t>
  </si>
  <si>
    <t>NIST CSF PR.AC-3, PR.DS-5; NIST SP 800-30 Table D-3</t>
  </si>
  <si>
    <t>Phishing Attack / Account Takeover</t>
  </si>
  <si>
    <t>Rated 4 (Likely). Phishing is the number one initial access vector per FBI IC3 2023 data. Organizations without phishing simulation programs show significantly higher susceptibility rates. 50 employees in a hybrid work model with no formal training is a high-risk profile.</t>
  </si>
  <si>
    <t>Rated 4 (Major). Account takeover of a developer or admin credential grants access to GitHub, AWS, or Google Workspace. Blast radius is wide. A Google Workspace compromise alone would expose all company email and shared files.</t>
  </si>
  <si>
    <t>Partial effectiveness. MFA availability does not equal MFA enforcement. Partial enforcement is functionally equivalent to no enforcement for the uncovered accounts.</t>
  </si>
  <si>
    <t>Residual score 9 (Medium). Enforced MFA reduces likelihood from 4 to 3. Training and simulation reduce impact confidence to 3. Score of 9 reflects that phishing will remain a persistent threat even with controls.</t>
  </si>
  <si>
    <t>NIST CSF PR.AC-1, PR.AT-1; NIST SP 800-30 Table D-1</t>
  </si>
  <si>
    <t>Overprivileged IAM Roles</t>
  </si>
  <si>
    <t>Rated 3 (Possible). Overprivileged IAM is a near-universal finding in startup environments. The pressure to ship quickly leads to broad role assignments that are rarely revisited. AWS's own Well-Architected reviews frequently cite this finding.</t>
  </si>
  <si>
    <t>Rated 4 (Major). IAM privilege escalation in AWS can grant access to production databases, S3 buckets, and secret stores. A single compromised developer credential with broad permissions is equivalent to a root-level access event.</t>
  </si>
  <si>
    <t>Low effectiveness. Role-based access exists at a surface level but was not formally reviewed. No evidence of access certification or quarterly review process.</t>
  </si>
  <si>
    <t>Residual score 6 (Medium). Least-privilege enforcement with separated prod/dev accounts reduces likelihood to 2 and impact to 3, yielding 6.</t>
  </si>
  <si>
    <t>NIST CSF PR.AC-4, PR.AC-6; NIST SP 800-53 AC-6</t>
  </si>
  <si>
    <t>Rated 3 (Possible). Supply chain and source code attacks are increasing per CISA advisories, particularly against developer tooling. GitHub credential abuse is among the top reported vectors.</t>
  </si>
  <si>
    <t>Rated 3 (Moderate). Exposure of proprietary source code damages competitive position and may reveal security vulnerabilities. Financial impact is moderate unless code contains embedded secrets.</t>
  </si>
  <si>
    <t>Partial effectiveness. Private repos reduce surface area but do not prevent insider or compromised-credential access.</t>
  </si>
  <si>
    <t>Residual score 6 (Medium). Branch protection and secret scanning bring likelihood to 2 and impact to 3.</t>
  </si>
  <si>
    <t>NIST CSF PR.DS-6, PR.AC-3; NIST SP 800-30 Table D-2</t>
  </si>
  <si>
    <t>Third-Party SaaS Breach</t>
  </si>
  <si>
    <t>Rated 2 (Unlikely). Major SaaS breaches (Google, HubSpot) are rare. However, HubSpot did experience a notable data incident in 2022, and vendor risk is a real vector for downstream exposure.</t>
  </si>
  <si>
    <t>Rated 4 (Major). A breach at a CRM or collaboration platform holding customer PII creates breach notification obligations and damages customer trust.</t>
  </si>
  <si>
    <t>Partial effectiveness. Contract terms provide some recourse but do not prevent data exposure. Google Workspace BAA addresses some HIPAA-adjacent requirements.</t>
  </si>
  <si>
    <t>Residual score 6 (Medium). Data minimization and vendor monitoring reduce the organization's exposure surface.</t>
  </si>
  <si>
    <t>NIST CSF ID.SC-2, ID.SC-4; NIST SP 800-30 Table D-5</t>
  </si>
  <si>
    <t>Rated 4 (Likely). Without a training program, phishing susceptibility rates in comparable organizations typically exceed 25% per KnowBe4 benchmarking data. This is not speculative; it is a measured outcome.</t>
  </si>
  <si>
    <t>Rated 3 (Moderate). Training deficits amplify likelihood across many risk categories but the direct impact of a training failure is typically moderate unless it enables a higher-severity event.</t>
  </si>
  <si>
    <t>Low effectiveness. Informal guidance from engineering is insufficient against targeted social engineering.</t>
  </si>
  <si>
    <t>Residual score 6 (Medium). A training program reduces susceptibility but cannot eliminate it.</t>
  </si>
  <si>
    <t>NIST CSF PR.AT-1, PR.AT-2; NIST SP 800-30 Table D-1</t>
  </si>
  <si>
    <t>No Incident Response Plan</t>
  </si>
  <si>
    <t>Rated 2 (Unlikely as a standalone trigger). The risk is not that the absence of a plan causes an incident, but that when an incident occurs, the lack of a plan extends damage duration and exposure.</t>
  </si>
  <si>
    <t>Rated 4 (Major). Without defined roles and procedures, containment time increases. For a data breach, every additional hour of containment delay increases regulatory exposure under CCPA's 72-hour notification window.</t>
  </si>
  <si>
    <t>Low effectiveness. Ad hoc response may work for minor issues but is inadequate for structured incidents requiring legal coordination.</t>
  </si>
  <si>
    <t>Residual score 6 (Medium). A documented and exercised plan reduces average response time and limits regulatory exposure.</t>
  </si>
  <si>
    <t>NIST CSF RS.RP-1, RS.CO-2; NIST SP 800-61 Rev. 2</t>
  </si>
  <si>
    <t>Unmanaged Employee Devices</t>
  </si>
  <si>
    <t>Rated 3 (Possible). Unmanaged endpoint incidents are common in distributed work models. Device theft or personal malware is a realistic threat for a hybrid 50-person team.</t>
  </si>
  <si>
    <t>Rated 3 (Moderate). A compromised device provides a credential or session token that can be used to access cloud systems. Impact is bounded by what the individual employee can access.</t>
  </si>
  <si>
    <t>Partial effectiveness. Some MDM coverage exists but is not universal.</t>
  </si>
  <si>
    <t>Residual score 6 (Medium). Full MDM enrollment with disk encryption reduces likelihood to 2 and impact to 3.</t>
  </si>
  <si>
    <t>NIST CSF PR.AC-3, PR.DS-1; CIS Control 4</t>
  </si>
  <si>
    <t>No Data Retention Policy</t>
  </si>
  <si>
    <t>Rated 2 (Unlikely to cause direct incident). The risk manifests as regulatory non-compliance rather than an immediate security event.</t>
  </si>
  <si>
    <t>Rated 3 (Moderate). CCPA requires honoring deletion requests within 45 days. Inability to purge data creates ongoing compliance exposure and litigation risk.</t>
  </si>
  <si>
    <t>No controls in place.</t>
  </si>
  <si>
    <t>Residual score 6 (Medium). A documented policy with automated purge workflows addresses the regulatory exposure.</t>
  </si>
  <si>
    <t>NIST CSF ID.AM-5, PR.DS-3; CCPA Section 1798.105</t>
  </si>
  <si>
    <t>Dependency Vulnerabilities</t>
  </si>
  <si>
    <t>Rated 3 (Possible). CVE databases report thousands of package vulnerabilities monthly. Without automated scanning, critical vulnerabilities in dependencies are discovered late or not at all.</t>
  </si>
  <si>
    <t>Rated 4 (Major). Exploited dependency vulnerabilities (e.g., Log4Shell-style events) can provide remote code execution in production environments. Impact in a multi-tenant SaaS environment is amplified.</t>
  </si>
  <si>
    <t>Partial effectiveness. Dependabot partially configured is better than nothing but inconsistent.</t>
  </si>
  <si>
    <t>Residual score 6 (Medium). Automated scanning with enforced SLA for critical CVEs reduces likelihood to 2 and maintains impact at 3.</t>
  </si>
  <si>
    <t>NIST CSF PR.IP-12, ID.RA-1; NIST SP 800-53 SI-2</t>
  </si>
  <si>
    <t>Rated 2 (Unlikely as a standalone threat). Insufficient logging does not cause an incident; it prevents detection and extends dwell time.</t>
  </si>
  <si>
    <t>Rated 3 (Moderate). Poor logging means that when an incident occurs, forensic investigation is limited and containment is slower. Regulatory investigations may also require log evidence.</t>
  </si>
  <si>
    <t>Partial effectiveness. Application performance monitoring does not substitute for security-focused logging.</t>
  </si>
  <si>
    <t>Residual score 4 (Low). Full CloudTrail coverage and defined alert thresholds significantly improve detection capability.</t>
  </si>
  <si>
    <t>NIST CSF DE.AE-1, DE.CM-1; NIST SP 800-92</t>
  </si>
  <si>
    <t>Multi-Tenant Data Isolation Failure</t>
  </si>
  <si>
    <t>Rated 2 (Unlikely). Multi-tenant isolation failures are infrequent in standard SaaS architectures with row-level security but do occur, particularly during rapid feature development without formal test coverage.</t>
  </si>
  <si>
    <t>Rated 5 (Catastrophic). Any confirmed cross-tenant data exposure would immediately invalidate enterprise procurement conversations, trigger breach notifications, and likely result in customer churn from all affected tenants.</t>
  </si>
  <si>
    <t>Partial effectiveness. Code reviews exist but tenant isolation has never been formally tested by an external party.</t>
  </si>
  <si>
    <t>Residual score 8 (Medium). A penetration test and automated isolation testing reduce residual likelihood to 2 and cap verifiable exposure.</t>
  </si>
  <si>
    <t>NIST CSF PR.AC-4, PR.DS-5; OWASP A01:2021</t>
  </si>
  <si>
    <t>Rated 3 (Possible). Without a formal offboarding checklist, former employee accounts are commonly found active in post-incident reviews. Employee turnover at a 50-person startup is a real and recurring trigger.</t>
  </si>
  <si>
    <t>Rated 3 (Moderate). A former employee with active access could exfiltrate data or cause disruption. Impact is bounded by that individual's access scope.</t>
  </si>
  <si>
    <t>Low effectiveness. Informal HR checklist has no IT verification step.</t>
  </si>
  <si>
    <t>Residual score 4 (Low). A documented policy with IT sign-off brings residual likelihood to 2 and impact to 2.</t>
  </si>
  <si>
    <t>NIST CSF PR.AC-1, PR.AC-3; NIST SP 800-53 AC-2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</si>
</sst>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1">
    <font>
      <sz val="11.0"/>
      <color theme="1"/>
      <name val="Calibri"/>
      <scheme val="minor"/>
    </font>
    <font>
      <b/>
      <sz val="14.0"/>
      <color rgb="FFFFFFFF"/>
      <name val="Arial"/>
    </font>
    <font/>
    <font>
      <sz val="10.0"/>
      <color rgb="FFFFFFFF"/>
      <name val="Arial"/>
    </font>
    <font>
      <b/>
      <sz val="10.0"/>
      <color rgb="FF1A1A1A"/>
      <name val="Arial"/>
    </font>
    <font>
      <sz val="10.0"/>
      <color rgb="FF1A1A1A"/>
      <name val="Arial"/>
    </font>
    <font>
      <i/>
      <sz val="10.0"/>
      <color rgb="FF7B5800"/>
      <name val="Arial"/>
    </font>
    <font>
      <b/>
      <sz val="11.0"/>
      <color rgb="FFFFFFFF"/>
      <name val="Arial"/>
    </font>
    <font>
      <b/>
      <sz val="10.0"/>
      <color rgb="FFFFFFFF"/>
      <name val="Arial"/>
    </font>
    <font>
      <b/>
      <sz val="13.0"/>
      <color rgb="FFFFFFFF"/>
      <name val="Arial"/>
    </font>
    <font>
      <b/>
      <sz val="10.0"/>
      <color theme="1"/>
      <name val="Arial"/>
    </font>
  </fonts>
  <fills count="22">
    <fill>
      <patternFill patternType="none"/>
    </fill>
    <fill>
      <patternFill patternType="lightGray"/>
    </fill>
    <fill>
      <patternFill patternType="solid">
        <fgColor rgb="FF1B5E20"/>
        <bgColor rgb="FF1B5E20"/>
      </patternFill>
    </fill>
    <fill>
      <patternFill patternType="solid">
        <fgColor rgb="FF2E7D32"/>
        <bgColor rgb="FF2E7D32"/>
      </patternFill>
    </fill>
    <fill>
      <patternFill patternType="solid">
        <fgColor rgb="FFC8E6C9"/>
        <bgColor rgb="FFC8E6C9"/>
      </patternFill>
    </fill>
    <fill>
      <patternFill patternType="solid">
        <fgColor rgb="FFFFFFFF"/>
        <bgColor rgb="FFFFFFFF"/>
      </patternFill>
    </fill>
    <fill>
      <patternFill patternType="solid">
        <fgColor rgb="FFFFF8E1"/>
        <bgColor rgb="FFFFF8E1"/>
      </patternFill>
    </fill>
    <fill>
      <patternFill patternType="solid">
        <fgColor rgb="FF81C784"/>
        <bgColor rgb="FF81C784"/>
      </patternFill>
    </fill>
    <fill>
      <patternFill patternType="solid">
        <fgColor rgb="FFFFD54F"/>
        <bgColor rgb="FFFFD54F"/>
      </patternFill>
    </fill>
    <fill>
      <patternFill patternType="solid">
        <fgColor rgb="FFFF8A65"/>
        <bgColor rgb="FFFF8A65"/>
      </patternFill>
    </fill>
    <fill>
      <patternFill patternType="solid">
        <fgColor rgb="FFE53935"/>
        <bgColor rgb="FFE53935"/>
      </patternFill>
    </fill>
    <fill>
      <patternFill patternType="solid">
        <fgColor rgb="FF880E4F"/>
        <bgColor rgb="FF880E4F"/>
      </patternFill>
    </fill>
    <fill>
      <patternFill patternType="solid">
        <fgColor rgb="FFEF9A9A"/>
        <bgColor rgb="FFEF9A9A"/>
      </patternFill>
    </fill>
    <fill>
      <patternFill patternType="solid">
        <fgColor rgb="FFFFCCBC"/>
        <bgColor rgb="FFFFCCBC"/>
      </patternFill>
    </fill>
    <fill>
      <patternFill patternType="solid">
        <fgColor rgb="FFFFCDD2"/>
        <bgColor rgb="FFFFCDD2"/>
      </patternFill>
    </fill>
    <fill>
      <patternFill patternType="solid">
        <fgColor rgb="FFFFF9C4"/>
        <bgColor rgb="FFFFF9C4"/>
      </patternFill>
    </fill>
    <fill>
      <patternFill patternType="solid">
        <fgColor rgb="FFFFE0B2"/>
        <bgColor rgb="FFFFE0B2"/>
      </patternFill>
    </fill>
    <fill>
      <patternFill patternType="solid">
        <fgColor rgb="FF388E3C"/>
        <bgColor rgb="FF388E3C"/>
      </patternFill>
    </fill>
    <fill>
      <patternFill patternType="solid">
        <fgColor rgb="FFDCEDC8"/>
        <bgColor rgb="FFDCEDC8"/>
      </patternFill>
    </fill>
    <fill>
      <patternFill patternType="solid">
        <fgColor rgb="FF43A047"/>
        <bgColor rgb="FF43A047"/>
      </patternFill>
    </fill>
    <fill>
      <patternFill patternType="solid">
        <fgColor rgb="FF558B2F"/>
        <bgColor rgb="FF558B2F"/>
      </patternFill>
    </fill>
    <fill>
      <patternFill patternType="solid">
        <fgColor rgb="FF33691E"/>
        <bgColor rgb="FF33691E"/>
      </patternFill>
    </fill>
  </fills>
  <borders count="14">
    <border/>
    <border>
      <left/>
      <top/>
      <bottom/>
    </border>
    <border>
      <right/>
      <top/>
      <bottom/>
    </border>
    <border>
      <left style="thin">
        <color rgb="FFA5D6A7"/>
      </left>
      <right style="thin">
        <color rgb="FFA5D6A7"/>
      </right>
      <top style="thin">
        <color rgb="FFA5D6A7"/>
      </top>
      <bottom style="thin">
        <color rgb="FFA5D6A7"/>
      </bottom>
    </border>
    <border>
      <left style="medium">
        <color rgb="FFF9A825"/>
      </left>
      <top style="thin">
        <color rgb="FFF9A825"/>
      </top>
    </border>
    <border>
      <right style="thin">
        <color rgb="FFF9A825"/>
      </right>
      <top style="thin">
        <color rgb="FFF9A825"/>
      </top>
    </border>
    <border>
      <left style="medium">
        <color rgb="FFF9A825"/>
      </left>
    </border>
    <border>
      <right style="thin">
        <color rgb="FFF9A825"/>
      </right>
    </border>
    <border>
      <left style="medium">
        <color rgb="FFF9A825"/>
      </left>
      <bottom style="thin">
        <color rgb="FFF9A825"/>
      </bottom>
    </border>
    <border>
      <right style="thin">
        <color rgb="FFF9A825"/>
      </right>
      <bottom style="thin">
        <color rgb="FFF9A825"/>
      </bottom>
    </border>
    <border>
      <top/>
      <bottom/>
    </border>
    <border>
      <left style="thin">
        <color rgb="FFA5D6A7"/>
      </left>
      <top style="thin">
        <color rgb="FFA5D6A7"/>
      </top>
      <bottom style="thin">
        <color rgb="FFA5D6A7"/>
      </bottom>
    </border>
    <border>
      <top style="thin">
        <color rgb="FFA5D6A7"/>
      </top>
      <bottom style="thin">
        <color rgb="FFA5D6A7"/>
      </bottom>
    </border>
    <border>
      <right style="thin">
        <color rgb="FFA5D6A7"/>
      </right>
      <top style="thin">
        <color rgb="FFA5D6A7"/>
      </top>
      <bottom style="thin">
        <color rgb="FFA5D6A7"/>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1" fillId="3" fontId="3" numFmtId="0" xfId="0" applyAlignment="1" applyBorder="1" applyFill="1" applyFont="1">
      <alignment horizontal="center" readingOrder="0" vertical="center"/>
    </xf>
    <xf borderId="3" fillId="4" fontId="4" numFmtId="0" xfId="0" applyAlignment="1" applyBorder="1" applyFill="1" applyFont="1">
      <alignment horizontal="left" shrinkToFit="0" vertical="top" wrapText="1"/>
    </xf>
    <xf borderId="3" fillId="4" fontId="5" numFmtId="0" xfId="0" applyAlignment="1" applyBorder="1" applyFont="1">
      <alignment horizontal="left" shrinkToFit="0" vertical="top" wrapText="1"/>
    </xf>
    <xf borderId="3" fillId="5" fontId="4" numFmtId="0" xfId="0" applyAlignment="1" applyBorder="1" applyFill="1" applyFont="1">
      <alignment horizontal="left" shrinkToFit="0" vertical="top" wrapText="1"/>
    </xf>
    <xf borderId="3" fillId="5" fontId="5" numFmtId="0" xfId="0" applyAlignment="1" applyBorder="1" applyFont="1">
      <alignment horizontal="left" shrinkToFit="0" vertical="top" wrapText="1"/>
    </xf>
    <xf borderId="3" fillId="4" fontId="5" numFmtId="0" xfId="0" applyAlignment="1" applyBorder="1" applyFont="1">
      <alignment horizontal="left" readingOrder="0" shrinkToFit="0" vertical="top" wrapText="1"/>
    </xf>
    <xf borderId="3" fillId="4" fontId="5" numFmtId="164" xfId="0" applyAlignment="1" applyBorder="1" applyFont="1" applyNumberFormat="1">
      <alignment horizontal="left" readingOrder="0" shrinkToFit="0" vertical="top" wrapText="1"/>
    </xf>
    <xf borderId="4" fillId="6" fontId="6" numFmtId="0" xfId="0" applyAlignment="1" applyBorder="1" applyFill="1" applyFont="1">
      <alignment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 fillId="2" fontId="7" numFmtId="0" xfId="0" applyAlignment="1" applyBorder="1" applyFont="1">
      <alignment horizontal="center" vertical="center"/>
    </xf>
    <xf borderId="10" fillId="0" fontId="2" numFmtId="0" xfId="0" applyBorder="1" applyFont="1"/>
    <xf borderId="3" fillId="3" fontId="7" numFmtId="0" xfId="0" applyAlignment="1" applyBorder="1" applyFont="1">
      <alignment horizontal="center" vertical="center"/>
    </xf>
    <xf borderId="3" fillId="4" fontId="5" numFmtId="0" xfId="0" applyAlignment="1" applyBorder="1" applyFont="1">
      <alignment horizontal="center" shrinkToFit="0" vertical="top" wrapText="1"/>
    </xf>
    <xf borderId="3" fillId="5" fontId="5" numFmtId="0" xfId="0" applyAlignment="1" applyBorder="1" applyFont="1">
      <alignment horizontal="center" shrinkToFit="0" vertical="top" wrapText="1"/>
    </xf>
    <xf borderId="3" fillId="7" fontId="4" numFmtId="0" xfId="0" applyAlignment="1" applyBorder="1" applyFill="1" applyFont="1">
      <alignment horizontal="center" shrinkToFit="0" vertical="top" wrapText="1"/>
    </xf>
    <xf borderId="3" fillId="8" fontId="4" numFmtId="0" xfId="0" applyAlignment="1" applyBorder="1" applyFill="1" applyFont="1">
      <alignment horizontal="center" shrinkToFit="0" vertical="top" wrapText="1"/>
    </xf>
    <xf borderId="3" fillId="9" fontId="4" numFmtId="0" xfId="0" applyAlignment="1" applyBorder="1" applyFill="1" applyFont="1">
      <alignment horizontal="center" shrinkToFit="0" vertical="top" wrapText="1"/>
    </xf>
    <xf borderId="3" fillId="10" fontId="8" numFmtId="0" xfId="0" applyAlignment="1" applyBorder="1" applyFill="1" applyFont="1">
      <alignment horizontal="center" shrinkToFit="0" vertical="top" wrapText="1"/>
    </xf>
    <xf borderId="3" fillId="11" fontId="8" numFmtId="0" xfId="0" applyAlignment="1" applyBorder="1" applyFill="1" applyFont="1">
      <alignment horizontal="center" shrinkToFit="0" vertical="top" wrapText="1"/>
    </xf>
    <xf borderId="3" fillId="3" fontId="7" numFmtId="0" xfId="0" applyAlignment="1" applyBorder="1" applyFont="1">
      <alignment horizontal="center" shrinkToFit="0" vertical="top" wrapText="1"/>
    </xf>
    <xf borderId="3" fillId="3" fontId="8" numFmtId="0" xfId="0" applyAlignment="1" applyBorder="1" applyFont="1">
      <alignment horizontal="center" shrinkToFit="0" vertical="top" wrapText="1"/>
    </xf>
    <xf borderId="3" fillId="12" fontId="5" numFmtId="0" xfId="0" applyAlignment="1" applyBorder="1" applyFill="1" applyFont="1">
      <alignment horizontal="center" shrinkToFit="0" vertical="top" wrapText="1"/>
    </xf>
    <xf borderId="3" fillId="13" fontId="5" numFmtId="0" xfId="0" applyAlignment="1" applyBorder="1" applyFill="1" applyFont="1">
      <alignment horizontal="center" shrinkToFit="0" vertical="top" wrapText="1"/>
    </xf>
    <xf borderId="3" fillId="0" fontId="5" numFmtId="0" xfId="0" applyAlignment="1" applyBorder="1" applyFont="1">
      <alignment horizontal="center" shrinkToFit="0" vertical="top" wrapText="1"/>
    </xf>
    <xf borderId="1" fillId="2" fontId="7" numFmtId="0" xfId="0" applyBorder="1" applyFont="1"/>
    <xf borderId="1" fillId="2" fontId="9" numFmtId="0" xfId="0" applyAlignment="1" applyBorder="1" applyFont="1">
      <alignment horizontal="center" readingOrder="0" vertical="center"/>
    </xf>
    <xf borderId="1" fillId="3" fontId="7" numFmtId="0" xfId="0" applyAlignment="1" applyBorder="1" applyFont="1">
      <alignment horizontal="center" vertical="center"/>
    </xf>
    <xf borderId="3" fillId="4" fontId="10" numFmtId="0" xfId="0" applyAlignment="1" applyBorder="1" applyFont="1">
      <alignment horizontal="center" vertical="center"/>
    </xf>
    <xf borderId="3" fillId="14" fontId="5" numFmtId="0" xfId="0" applyAlignment="1" applyBorder="1" applyFill="1" applyFont="1">
      <alignment horizontal="center" shrinkToFit="0" vertical="top" wrapText="1"/>
    </xf>
    <xf borderId="3" fillId="15" fontId="5" numFmtId="0" xfId="0" applyAlignment="1" applyBorder="1" applyFill="1" applyFont="1">
      <alignment horizontal="center" shrinkToFit="0" vertical="top" wrapText="1"/>
    </xf>
    <xf borderId="11" fillId="4" fontId="5" numFmtId="0" xfId="0" applyAlignment="1" applyBorder="1" applyFont="1">
      <alignment shrinkToFit="0" vertical="top" wrapText="1"/>
    </xf>
    <xf borderId="12" fillId="0" fontId="2" numFmtId="0" xfId="0" applyBorder="1" applyFont="1"/>
    <xf borderId="13" fillId="0" fontId="2" numFmtId="0" xfId="0" applyBorder="1" applyFont="1"/>
    <xf borderId="11" fillId="5" fontId="5" numFmtId="0" xfId="0" applyAlignment="1" applyBorder="1" applyFont="1">
      <alignment shrinkToFit="0" vertical="top" wrapText="1"/>
    </xf>
    <xf borderId="3" fillId="2" fontId="8" numFmtId="0" xfId="0" applyAlignment="1" applyBorder="1" applyFont="1">
      <alignment horizontal="center" vertical="center"/>
    </xf>
    <xf borderId="3" fillId="14" fontId="5" numFmtId="0" xfId="0" applyAlignment="1" applyBorder="1" applyFont="1">
      <alignment horizontal="left" shrinkToFit="0" vertical="top" wrapText="1"/>
    </xf>
    <xf borderId="3" fillId="16" fontId="5" numFmtId="0" xfId="0" applyAlignment="1" applyBorder="1" applyFill="1" applyFont="1">
      <alignment horizontal="center" shrinkToFit="0" vertical="top" wrapText="1"/>
    </xf>
    <xf borderId="3" fillId="16" fontId="5" numFmtId="0" xfId="0" applyAlignment="1" applyBorder="1" applyFont="1">
      <alignment horizontal="left" shrinkToFit="0" vertical="top" wrapText="1"/>
    </xf>
    <xf borderId="3" fillId="15" fontId="5" numFmtId="0" xfId="0" applyAlignment="1" applyBorder="1" applyFont="1">
      <alignment horizontal="left" shrinkToFit="0" vertical="top" wrapText="1"/>
    </xf>
    <xf borderId="11" fillId="2" fontId="7" numFmtId="0" xfId="0" applyAlignment="1" applyBorder="1" applyFont="1">
      <alignment horizontal="left" vertical="center"/>
    </xf>
    <xf borderId="3" fillId="14" fontId="4" numFmtId="0" xfId="0" applyAlignment="1" applyBorder="1" applyFont="1">
      <alignment horizontal="center" shrinkToFit="0" vertical="top" wrapText="1"/>
    </xf>
    <xf borderId="3" fillId="16" fontId="4" numFmtId="0" xfId="0" applyAlignment="1" applyBorder="1" applyFont="1">
      <alignment horizontal="center" shrinkToFit="0" vertical="top" wrapText="1"/>
    </xf>
    <xf borderId="11" fillId="3" fontId="7" numFmtId="0" xfId="0" applyAlignment="1" applyBorder="1" applyFont="1">
      <alignment horizontal="left" vertical="center"/>
    </xf>
    <xf borderId="11" fillId="17" fontId="7" numFmtId="0" xfId="0" applyAlignment="1" applyBorder="1" applyFill="1" applyFont="1">
      <alignment horizontal="left" vertical="center"/>
    </xf>
    <xf borderId="3" fillId="15" fontId="4" numFmtId="0" xfId="0" applyAlignment="1" applyBorder="1" applyFont="1">
      <alignment horizontal="center" shrinkToFit="0" vertical="top" wrapText="1"/>
    </xf>
    <xf borderId="3" fillId="18" fontId="4" numFmtId="0" xfId="0" applyAlignment="1" applyBorder="1" applyFill="1" applyFont="1">
      <alignment horizontal="center" shrinkToFit="0" vertical="top" wrapText="1"/>
    </xf>
    <xf borderId="11" fillId="19" fontId="7" numFmtId="0" xfId="0" applyAlignment="1" applyBorder="1" applyFill="1" applyFont="1">
      <alignment horizontal="left" vertical="center"/>
    </xf>
    <xf borderId="11" fillId="20" fontId="7" numFmtId="0" xfId="0" applyAlignment="1" applyBorder="1" applyFill="1" applyFont="1">
      <alignment horizontal="left" vertical="center"/>
    </xf>
    <xf borderId="11" fillId="21" fontId="7" numFmtId="0" xfId="0" applyAlignment="1" applyBorder="1" applyFill="1" applyFont="1">
      <alignment horizontal="left" vertical="center"/>
    </xf>
    <xf borderId="11" fillId="2" fontId="7" numFmtId="0" xfId="0" applyAlignment="1" applyBorder="1" applyFont="1">
      <alignment horizontal="center" vertical="center"/>
    </xf>
    <xf borderId="3" fillId="18" fontId="5" numFmtId="0" xfId="0" applyAlignment="1" applyBorder="1" applyFont="1">
      <alignment horizontal="left" shrinkToFit="0" vertical="top" wrapText="1"/>
    </xf>
    <xf borderId="3" fillId="4" fontId="4" numFmtId="0" xfId="0" applyAlignment="1" applyBorder="1" applyFont="1">
      <alignment horizontal="center" shrinkToFit="0" vertical="top" wrapText="1"/>
    </xf>
    <xf borderId="3" fillId="5" fontId="4" numFmtId="0" xfId="0" applyAlignment="1" applyBorder="1" applyFont="1">
      <alignment horizontal="center" shrinkToFit="0" vertical="top" wrapText="1"/>
    </xf>
    <xf borderId="11" fillId="3" fontId="7" numFmtId="0" xfId="0" applyAlignment="1" applyBorder="1" applyFont="1">
      <alignment horizontal="center" shrinkToFit="0" vertical="top" wrapText="1"/>
    </xf>
  </cellXfs>
  <cellStyles count="1">
    <cellStyle xfId="0" name="Normal" builtinId="0"/>
  </cellStyles>
  <dxfs count="5">
    <dxf>
      <font>
        <color rgb="FFFFFFFF"/>
      </font>
      <fill>
        <patternFill patternType="solid">
          <fgColor rgb="FF880E4F"/>
          <bgColor rgb="FF880E4F"/>
        </patternFill>
      </fill>
      <border/>
    </dxf>
    <dxf>
      <font>
        <color rgb="FFFFFFFF"/>
      </font>
      <fill>
        <patternFill patternType="solid">
          <fgColor rgb="FFFF0000"/>
          <bgColor rgb="FFFF0000"/>
        </patternFill>
      </fill>
      <border/>
    </dxf>
    <dxf>
      <font>
        <color rgb="FF000000"/>
      </font>
      <fill>
        <patternFill patternType="solid">
          <fgColor rgb="FFFF9900"/>
          <bgColor rgb="FFFF9900"/>
        </patternFill>
      </fill>
      <border/>
    </dxf>
    <dxf>
      <font>
        <color rgb="FF000000"/>
      </font>
      <fill>
        <patternFill patternType="solid">
          <fgColor rgb="FFF1C232"/>
          <bgColor rgb="FFF1C232"/>
        </patternFill>
      </fill>
      <border/>
    </dxf>
    <dxf>
      <font>
        <color rgb="FF000000"/>
      </font>
      <fill>
        <patternFill patternType="solid">
          <fgColor rgb="FF6AA84F"/>
          <bgColor rgb="FF6AA84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sheetViews>
  <sheetFormatPr customHeight="1" defaultColWidth="14.43" defaultRowHeight="15.0"/>
  <cols>
    <col customWidth="1" min="1" max="1" width="36.0"/>
    <col customWidth="1" min="2" max="2" width="50.0"/>
    <col customWidth="1" min="3" max="26" width="8.71"/>
  </cols>
  <sheetData>
    <row r="1" ht="36.0" customHeight="1">
      <c r="A1" s="1" t="s">
        <v>0</v>
      </c>
      <c r="B1" s="2"/>
    </row>
    <row r="2">
      <c r="A2" s="3" t="s">
        <v>1</v>
      </c>
      <c r="B2" s="2"/>
    </row>
    <row r="3" ht="18.0" customHeight="1">
      <c r="A3" s="4" t="s">
        <v>2</v>
      </c>
      <c r="B3" s="5" t="s">
        <v>3</v>
      </c>
    </row>
    <row r="4" ht="18.0" customHeight="1">
      <c r="A4" s="6" t="s">
        <v>4</v>
      </c>
      <c r="B4" s="7" t="s">
        <v>5</v>
      </c>
    </row>
    <row r="5" ht="18.0" customHeight="1">
      <c r="A5" s="4" t="s">
        <v>6</v>
      </c>
      <c r="B5" s="5" t="s">
        <v>7</v>
      </c>
    </row>
    <row r="6" ht="18.0" customHeight="1">
      <c r="A6" s="6" t="s">
        <v>8</v>
      </c>
      <c r="B6" s="7" t="s">
        <v>9</v>
      </c>
    </row>
    <row r="7" ht="18.0" customHeight="1">
      <c r="A7" s="4" t="s">
        <v>10</v>
      </c>
      <c r="B7" s="5" t="s">
        <v>11</v>
      </c>
    </row>
    <row r="8" ht="18.0" customHeight="1">
      <c r="A8" s="6" t="s">
        <v>12</v>
      </c>
      <c r="B8" s="7" t="s">
        <v>13</v>
      </c>
    </row>
    <row r="9" ht="43.5" customHeight="1">
      <c r="A9" s="4" t="s">
        <v>14</v>
      </c>
      <c r="B9" s="8" t="s">
        <v>15</v>
      </c>
    </row>
    <row r="10" ht="18.0" customHeight="1">
      <c r="A10" s="6" t="s">
        <v>16</v>
      </c>
      <c r="B10" s="7" t="s">
        <v>17</v>
      </c>
    </row>
    <row r="11" ht="18.0" customHeight="1">
      <c r="A11" s="4" t="s">
        <v>18</v>
      </c>
      <c r="B11" s="5" t="s">
        <v>19</v>
      </c>
    </row>
    <row r="12" ht="18.0" customHeight="1">
      <c r="A12" s="6" t="s">
        <v>20</v>
      </c>
      <c r="B12" s="7" t="s">
        <v>21</v>
      </c>
    </row>
    <row r="13" ht="18.0" customHeight="1">
      <c r="A13" s="4" t="s">
        <v>22</v>
      </c>
      <c r="B13" s="9">
        <v>46174.0</v>
      </c>
    </row>
    <row r="14" ht="18.0" customHeight="1">
      <c r="A14" s="6" t="s">
        <v>23</v>
      </c>
      <c r="B14" s="7" t="s">
        <v>24</v>
      </c>
    </row>
    <row r="15" ht="18.0" customHeight="1">
      <c r="A15" s="4" t="s">
        <v>25</v>
      </c>
      <c r="B15" s="5" t="s">
        <v>26</v>
      </c>
    </row>
    <row r="17" ht="60.0" customHeight="1">
      <c r="A17" s="10" t="s">
        <v>27</v>
      </c>
      <c r="B17" s="11"/>
    </row>
    <row r="18">
      <c r="A18" s="12"/>
      <c r="B18" s="13"/>
    </row>
    <row r="19">
      <c r="A19" s="12"/>
      <c r="B19" s="13"/>
    </row>
    <row r="20">
      <c r="A20" s="14"/>
      <c r="B20"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17:B2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sheetViews>
  <sheetFormatPr customHeight="1" defaultColWidth="14.43" defaultRowHeight="15.0"/>
  <cols>
    <col customWidth="1" min="1" max="1" width="18.0"/>
    <col customWidth="1" min="2" max="2" width="20.0"/>
    <col customWidth="1" min="3" max="4" width="38.0"/>
    <col customWidth="1" min="5" max="26" width="8.71"/>
  </cols>
  <sheetData>
    <row r="1">
      <c r="A1" s="16" t="s">
        <v>28</v>
      </c>
      <c r="B1" s="17"/>
      <c r="C1" s="17"/>
      <c r="D1" s="2"/>
    </row>
    <row r="2">
      <c r="A2" s="18" t="s">
        <v>29</v>
      </c>
      <c r="B2" s="18" t="s">
        <v>30</v>
      </c>
      <c r="C2" s="18" t="s">
        <v>31</v>
      </c>
      <c r="D2" s="18" t="s">
        <v>32</v>
      </c>
    </row>
    <row r="3" ht="36.0" customHeight="1">
      <c r="A3" s="19">
        <v>1.0</v>
      </c>
      <c r="B3" s="19" t="s">
        <v>33</v>
      </c>
      <c r="C3" s="5" t="s">
        <v>34</v>
      </c>
      <c r="D3" s="5" t="s">
        <v>35</v>
      </c>
    </row>
    <row r="4" ht="36.0" customHeight="1">
      <c r="A4" s="20">
        <v>2.0</v>
      </c>
      <c r="B4" s="20" t="s">
        <v>36</v>
      </c>
      <c r="C4" s="7" t="s">
        <v>37</v>
      </c>
      <c r="D4" s="7" t="s">
        <v>38</v>
      </c>
    </row>
    <row r="5" ht="36.0" customHeight="1">
      <c r="A5" s="19">
        <v>3.0</v>
      </c>
      <c r="B5" s="19" t="s">
        <v>39</v>
      </c>
      <c r="C5" s="5" t="s">
        <v>40</v>
      </c>
      <c r="D5" s="5" t="s">
        <v>41</v>
      </c>
    </row>
    <row r="6" ht="36.0" customHeight="1">
      <c r="A6" s="20">
        <v>4.0</v>
      </c>
      <c r="B6" s="20" t="s">
        <v>42</v>
      </c>
      <c r="C6" s="7" t="s">
        <v>43</v>
      </c>
      <c r="D6" s="7" t="s">
        <v>44</v>
      </c>
    </row>
    <row r="7" ht="36.0" customHeight="1">
      <c r="A7" s="19">
        <v>5.0</v>
      </c>
      <c r="B7" s="19" t="s">
        <v>45</v>
      </c>
      <c r="C7" s="5" t="s">
        <v>46</v>
      </c>
      <c r="D7" s="5" t="s">
        <v>47</v>
      </c>
    </row>
    <row r="10">
      <c r="A10" s="16" t="s">
        <v>48</v>
      </c>
      <c r="B10" s="17"/>
      <c r="C10" s="17"/>
      <c r="D10" s="2"/>
    </row>
    <row r="11">
      <c r="A11" s="18" t="s">
        <v>29</v>
      </c>
      <c r="B11" s="18" t="s">
        <v>30</v>
      </c>
      <c r="C11" s="18" t="s">
        <v>49</v>
      </c>
      <c r="D11" s="18" t="s">
        <v>50</v>
      </c>
    </row>
    <row r="12" ht="36.0" customHeight="1">
      <c r="A12" s="19">
        <v>1.0</v>
      </c>
      <c r="B12" s="19" t="s">
        <v>51</v>
      </c>
      <c r="C12" s="5" t="s">
        <v>52</v>
      </c>
      <c r="D12" s="5" t="s">
        <v>53</v>
      </c>
    </row>
    <row r="13" ht="36.0" customHeight="1">
      <c r="A13" s="20">
        <v>2.0</v>
      </c>
      <c r="B13" s="20" t="s">
        <v>54</v>
      </c>
      <c r="C13" s="7" t="s">
        <v>55</v>
      </c>
      <c r="D13" s="7" t="s">
        <v>56</v>
      </c>
    </row>
    <row r="14" ht="36.0" customHeight="1">
      <c r="A14" s="19">
        <v>3.0</v>
      </c>
      <c r="B14" s="19" t="s">
        <v>57</v>
      </c>
      <c r="C14" s="5" t="s">
        <v>58</v>
      </c>
      <c r="D14" s="5" t="s">
        <v>59</v>
      </c>
    </row>
    <row r="15" ht="36.0" customHeight="1">
      <c r="A15" s="20">
        <v>4.0</v>
      </c>
      <c r="B15" s="20" t="s">
        <v>60</v>
      </c>
      <c r="C15" s="7" t="s">
        <v>61</v>
      </c>
      <c r="D15" s="7" t="s">
        <v>62</v>
      </c>
    </row>
    <row r="16" ht="36.0" customHeight="1">
      <c r="A16" s="19">
        <v>5.0</v>
      </c>
      <c r="B16" s="19" t="s">
        <v>63</v>
      </c>
      <c r="C16" s="5" t="s">
        <v>64</v>
      </c>
      <c r="D16" s="5" t="s">
        <v>65</v>
      </c>
    </row>
    <row r="19">
      <c r="A19" s="16" t="s">
        <v>66</v>
      </c>
      <c r="B19" s="17"/>
      <c r="C19" s="17"/>
      <c r="D19" s="2"/>
    </row>
    <row r="20">
      <c r="A20" s="18" t="s">
        <v>67</v>
      </c>
      <c r="B20" s="18" t="s">
        <v>68</v>
      </c>
      <c r="C20" s="18" t="s">
        <v>69</v>
      </c>
      <c r="D20" s="18" t="s">
        <v>70</v>
      </c>
    </row>
    <row r="21" ht="30.0" customHeight="1">
      <c r="A21" s="19" t="s">
        <v>71</v>
      </c>
      <c r="B21" s="21" t="s">
        <v>72</v>
      </c>
      <c r="C21" s="5" t="s">
        <v>73</v>
      </c>
      <c r="D21" s="5" t="s">
        <v>74</v>
      </c>
    </row>
    <row r="22" ht="30.0" customHeight="1">
      <c r="A22" s="20" t="s">
        <v>75</v>
      </c>
      <c r="B22" s="22" t="s">
        <v>76</v>
      </c>
      <c r="C22" s="7" t="s">
        <v>77</v>
      </c>
      <c r="D22" s="7" t="s">
        <v>78</v>
      </c>
    </row>
    <row r="23" ht="30.0" customHeight="1">
      <c r="A23" s="19" t="s">
        <v>79</v>
      </c>
      <c r="B23" s="23" t="s">
        <v>80</v>
      </c>
      <c r="C23" s="5" t="s">
        <v>81</v>
      </c>
      <c r="D23" s="5" t="s">
        <v>82</v>
      </c>
    </row>
    <row r="24" ht="30.0" customHeight="1">
      <c r="A24" s="20" t="s">
        <v>83</v>
      </c>
      <c r="B24" s="24" t="s">
        <v>84</v>
      </c>
      <c r="C24" s="7" t="s">
        <v>85</v>
      </c>
      <c r="D24" s="7" t="s">
        <v>86</v>
      </c>
    </row>
    <row r="25" ht="30.0" customHeight="1">
      <c r="A25" s="19" t="s">
        <v>87</v>
      </c>
      <c r="B25" s="25" t="s">
        <v>88</v>
      </c>
      <c r="C25" s="5" t="s">
        <v>89</v>
      </c>
      <c r="D25" s="5" t="s">
        <v>90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10:D10"/>
    <mergeCell ref="A19:D19"/>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0.0"/>
    <col customWidth="1" min="3" max="3" width="22.0"/>
    <col customWidth="1" min="4" max="4" width="14.0"/>
    <col customWidth="1" min="5" max="5" width="20.0"/>
    <col customWidth="1" min="6" max="6" width="24.0"/>
    <col customWidth="1" min="7" max="7" width="28.0"/>
    <col customWidth="1" min="8" max="8" width="40.0"/>
    <col customWidth="1" min="9" max="26" width="8.71"/>
  </cols>
  <sheetData>
    <row r="1">
      <c r="A1" s="26" t="s">
        <v>91</v>
      </c>
      <c r="B1" s="26" t="s">
        <v>92</v>
      </c>
      <c r="C1" s="26" t="s">
        <v>93</v>
      </c>
      <c r="D1" s="26" t="s">
        <v>94</v>
      </c>
      <c r="E1" s="26" t="s">
        <v>95</v>
      </c>
      <c r="F1" s="26" t="s">
        <v>96</v>
      </c>
      <c r="G1" s="26" t="s">
        <v>97</v>
      </c>
      <c r="H1" s="26" t="s">
        <v>98</v>
      </c>
    </row>
    <row r="2" ht="39.75" customHeight="1">
      <c r="A2" s="19" t="s">
        <v>99</v>
      </c>
      <c r="B2" s="5" t="s">
        <v>100</v>
      </c>
      <c r="C2" s="5" t="s">
        <v>101</v>
      </c>
      <c r="D2" s="19" t="s">
        <v>84</v>
      </c>
      <c r="E2" s="19" t="s">
        <v>102</v>
      </c>
      <c r="F2" s="5" t="s">
        <v>103</v>
      </c>
      <c r="G2" s="19" t="s">
        <v>104</v>
      </c>
      <c r="H2" s="5" t="s">
        <v>105</v>
      </c>
    </row>
    <row r="3" ht="39.75" customHeight="1">
      <c r="A3" s="20" t="s">
        <v>106</v>
      </c>
      <c r="B3" s="7" t="s">
        <v>107</v>
      </c>
      <c r="C3" s="7" t="s">
        <v>108</v>
      </c>
      <c r="D3" s="20" t="s">
        <v>84</v>
      </c>
      <c r="E3" s="20" t="s">
        <v>102</v>
      </c>
      <c r="F3" s="7" t="s">
        <v>103</v>
      </c>
      <c r="G3" s="20" t="s">
        <v>109</v>
      </c>
      <c r="H3" s="7" t="s">
        <v>110</v>
      </c>
    </row>
    <row r="4" ht="39.75" customHeight="1">
      <c r="A4" s="19" t="s">
        <v>111</v>
      </c>
      <c r="B4" s="5" t="s">
        <v>112</v>
      </c>
      <c r="C4" s="5" t="s">
        <v>113</v>
      </c>
      <c r="D4" s="19" t="s">
        <v>84</v>
      </c>
      <c r="E4" s="19" t="s">
        <v>102</v>
      </c>
      <c r="F4" s="5" t="s">
        <v>103</v>
      </c>
      <c r="G4" s="19" t="s">
        <v>114</v>
      </c>
      <c r="H4" s="5" t="s">
        <v>115</v>
      </c>
    </row>
    <row r="5" ht="39.75" customHeight="1">
      <c r="A5" s="20" t="s">
        <v>116</v>
      </c>
      <c r="B5" s="7" t="s">
        <v>117</v>
      </c>
      <c r="C5" s="7" t="s">
        <v>113</v>
      </c>
      <c r="D5" s="20" t="s">
        <v>84</v>
      </c>
      <c r="E5" s="20" t="s">
        <v>102</v>
      </c>
      <c r="F5" s="7" t="s">
        <v>103</v>
      </c>
      <c r="G5" s="20" t="s">
        <v>114</v>
      </c>
      <c r="H5" s="7" t="s">
        <v>118</v>
      </c>
    </row>
    <row r="6" ht="39.75" customHeight="1">
      <c r="A6" s="19" t="s">
        <v>119</v>
      </c>
      <c r="B6" s="5" t="s">
        <v>120</v>
      </c>
      <c r="C6" s="5" t="s">
        <v>113</v>
      </c>
      <c r="D6" s="19" t="s">
        <v>80</v>
      </c>
      <c r="E6" s="19" t="s">
        <v>121</v>
      </c>
      <c r="F6" s="5" t="s">
        <v>122</v>
      </c>
      <c r="G6" s="19" t="s">
        <v>114</v>
      </c>
      <c r="H6" s="5" t="s">
        <v>123</v>
      </c>
    </row>
    <row r="7" ht="39.75" customHeight="1">
      <c r="A7" s="20" t="s">
        <v>124</v>
      </c>
      <c r="B7" s="7" t="s">
        <v>125</v>
      </c>
      <c r="C7" s="7" t="s">
        <v>108</v>
      </c>
      <c r="D7" s="20" t="s">
        <v>84</v>
      </c>
      <c r="E7" s="20" t="s">
        <v>102</v>
      </c>
      <c r="F7" s="7" t="s">
        <v>103</v>
      </c>
      <c r="G7" s="20" t="s">
        <v>109</v>
      </c>
      <c r="H7" s="7" t="s">
        <v>126</v>
      </c>
    </row>
    <row r="8" ht="39.75" customHeight="1">
      <c r="A8" s="19" t="s">
        <v>127</v>
      </c>
      <c r="B8" s="5" t="s">
        <v>128</v>
      </c>
      <c r="C8" s="5" t="s">
        <v>108</v>
      </c>
      <c r="D8" s="19" t="s">
        <v>80</v>
      </c>
      <c r="E8" s="19" t="s">
        <v>121</v>
      </c>
      <c r="F8" s="5" t="s">
        <v>103</v>
      </c>
      <c r="G8" s="19" t="s">
        <v>109</v>
      </c>
      <c r="H8" s="5" t="s">
        <v>129</v>
      </c>
    </row>
    <row r="9" ht="39.75" customHeight="1">
      <c r="A9" s="20" t="s">
        <v>130</v>
      </c>
      <c r="B9" s="7" t="s">
        <v>131</v>
      </c>
      <c r="C9" s="7" t="s">
        <v>101</v>
      </c>
      <c r="D9" s="20" t="s">
        <v>80</v>
      </c>
      <c r="E9" s="20" t="s">
        <v>121</v>
      </c>
      <c r="F9" s="7" t="s">
        <v>103</v>
      </c>
      <c r="G9" s="20" t="s">
        <v>104</v>
      </c>
      <c r="H9" s="7" t="s">
        <v>132</v>
      </c>
    </row>
    <row r="10" ht="39.75" customHeight="1">
      <c r="A10" s="19" t="s">
        <v>133</v>
      </c>
      <c r="B10" s="5" t="s">
        <v>134</v>
      </c>
      <c r="C10" s="5" t="s">
        <v>135</v>
      </c>
      <c r="D10" s="19" t="s">
        <v>84</v>
      </c>
      <c r="E10" s="19" t="s">
        <v>121</v>
      </c>
      <c r="F10" s="5" t="s">
        <v>103</v>
      </c>
      <c r="G10" s="19" t="s">
        <v>136</v>
      </c>
      <c r="H10" s="5" t="s">
        <v>137</v>
      </c>
    </row>
    <row r="11" ht="39.75" customHeight="1">
      <c r="A11" s="20" t="s">
        <v>138</v>
      </c>
      <c r="B11" s="7" t="s">
        <v>139</v>
      </c>
      <c r="C11" s="7" t="s">
        <v>135</v>
      </c>
      <c r="D11" s="20" t="s">
        <v>80</v>
      </c>
      <c r="E11" s="20" t="s">
        <v>121</v>
      </c>
      <c r="F11" s="7" t="s">
        <v>140</v>
      </c>
      <c r="G11" s="20" t="s">
        <v>136</v>
      </c>
      <c r="H11" s="7" t="s">
        <v>141</v>
      </c>
    </row>
    <row r="12" ht="39.75" customHeight="1">
      <c r="A12" s="19" t="s">
        <v>142</v>
      </c>
      <c r="B12" s="5" t="s">
        <v>143</v>
      </c>
      <c r="C12" s="5" t="s">
        <v>135</v>
      </c>
      <c r="D12" s="19" t="s">
        <v>76</v>
      </c>
      <c r="E12" s="19" t="s">
        <v>121</v>
      </c>
      <c r="F12" s="5" t="s">
        <v>144</v>
      </c>
      <c r="G12" s="19" t="s">
        <v>136</v>
      </c>
      <c r="H12" s="5" t="s">
        <v>145</v>
      </c>
    </row>
    <row r="13" ht="39.75" customHeight="1">
      <c r="A13" s="20" t="s">
        <v>146</v>
      </c>
      <c r="B13" s="7" t="s">
        <v>147</v>
      </c>
      <c r="C13" s="7" t="s">
        <v>135</v>
      </c>
      <c r="D13" s="20" t="s">
        <v>80</v>
      </c>
      <c r="E13" s="20" t="s">
        <v>121</v>
      </c>
      <c r="F13" s="7" t="s">
        <v>148</v>
      </c>
      <c r="G13" s="20" t="s">
        <v>136</v>
      </c>
      <c r="H13" s="7" t="s">
        <v>149</v>
      </c>
    </row>
    <row r="14" ht="39.75" customHeight="1">
      <c r="A14" s="19" t="s">
        <v>150</v>
      </c>
      <c r="B14" s="5" t="s">
        <v>151</v>
      </c>
      <c r="C14" s="5" t="s">
        <v>152</v>
      </c>
      <c r="D14" s="19" t="s">
        <v>76</v>
      </c>
      <c r="E14" s="19" t="s">
        <v>153</v>
      </c>
      <c r="F14" s="5" t="s">
        <v>148</v>
      </c>
      <c r="G14" s="19" t="s">
        <v>109</v>
      </c>
      <c r="H14" s="5" t="s">
        <v>154</v>
      </c>
    </row>
    <row r="15" ht="39.75" customHeight="1">
      <c r="A15" s="20" t="s">
        <v>155</v>
      </c>
      <c r="B15" s="7" t="s">
        <v>156</v>
      </c>
      <c r="C15" s="7" t="s">
        <v>108</v>
      </c>
      <c r="D15" s="20" t="s">
        <v>84</v>
      </c>
      <c r="E15" s="20" t="s">
        <v>102</v>
      </c>
      <c r="F15" s="7" t="s">
        <v>103</v>
      </c>
      <c r="G15" s="20" t="s">
        <v>109</v>
      </c>
      <c r="H15" s="7" t="s">
        <v>157</v>
      </c>
    </row>
    <row r="16" ht="39.75" customHeight="1">
      <c r="A16" s="19" t="s">
        <v>158</v>
      </c>
      <c r="B16" s="5" t="s">
        <v>159</v>
      </c>
      <c r="C16" s="5" t="s">
        <v>135</v>
      </c>
      <c r="D16" s="19" t="s">
        <v>76</v>
      </c>
      <c r="E16" s="19" t="s">
        <v>153</v>
      </c>
      <c r="F16" s="5" t="s">
        <v>103</v>
      </c>
      <c r="G16" s="19" t="s">
        <v>136</v>
      </c>
      <c r="H16" s="5" t="s">
        <v>160</v>
      </c>
    </row>
    <row r="17" ht="39.75" customHeight="1">
      <c r="A17" s="20" t="s">
        <v>161</v>
      </c>
      <c r="B17" s="7" t="s">
        <v>162</v>
      </c>
      <c r="C17" s="7" t="s">
        <v>113</v>
      </c>
      <c r="D17" s="20" t="s">
        <v>76</v>
      </c>
      <c r="E17" s="20" t="s">
        <v>121</v>
      </c>
      <c r="F17" s="7" t="s">
        <v>122</v>
      </c>
      <c r="G17" s="20" t="s">
        <v>114</v>
      </c>
      <c r="H17" s="7" t="s">
        <v>163</v>
      </c>
    </row>
    <row r="18" ht="39.75" customHeight="1">
      <c r="A18" s="19" t="s">
        <v>164</v>
      </c>
      <c r="B18" s="5" t="s">
        <v>165</v>
      </c>
      <c r="C18" s="5" t="s">
        <v>135</v>
      </c>
      <c r="D18" s="19" t="s">
        <v>72</v>
      </c>
      <c r="E18" s="19" t="s">
        <v>153</v>
      </c>
      <c r="F18" s="5" t="s">
        <v>148</v>
      </c>
      <c r="G18" s="19" t="s">
        <v>114</v>
      </c>
      <c r="H18" s="5" t="s">
        <v>166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28.0"/>
    <col customWidth="1" min="3" max="3" width="44.0"/>
    <col customWidth="1" min="4" max="4" width="18.0"/>
    <col customWidth="1" min="5" max="5" width="32.0"/>
    <col customWidth="1" min="6" max="6" width="18.0"/>
    <col customWidth="1" min="7" max="7" width="36.0"/>
    <col customWidth="1" min="8" max="10" width="11.0"/>
    <col customWidth="1" min="11" max="11" width="12.0"/>
    <col customWidth="1" min="12" max="12" width="36.0"/>
    <col customWidth="1" min="13" max="14" width="14.0"/>
    <col customWidth="1" min="15" max="17" width="12.0"/>
    <col customWidth="1" min="18" max="18" width="44.0"/>
    <col customWidth="1" min="19" max="19" width="22.0"/>
    <col customWidth="1" min="20" max="20" width="14.0"/>
    <col customWidth="1" min="21" max="26" width="8.71"/>
  </cols>
  <sheetData>
    <row r="1" ht="39.75" customHeight="1">
      <c r="A1" s="27" t="s">
        <v>167</v>
      </c>
      <c r="B1" s="27" t="s">
        <v>168</v>
      </c>
      <c r="C1" s="27" t="s">
        <v>169</v>
      </c>
      <c r="D1" s="27" t="s">
        <v>170</v>
      </c>
      <c r="E1" s="27" t="s">
        <v>171</v>
      </c>
      <c r="F1" s="27" t="s">
        <v>172</v>
      </c>
      <c r="G1" s="27" t="s">
        <v>173</v>
      </c>
      <c r="H1" s="27" t="s">
        <v>174</v>
      </c>
      <c r="I1" s="27" t="s">
        <v>175</v>
      </c>
      <c r="J1" s="27" t="s">
        <v>176</v>
      </c>
      <c r="K1" s="27" t="s">
        <v>177</v>
      </c>
      <c r="L1" s="27" t="s">
        <v>178</v>
      </c>
      <c r="M1" s="27" t="s">
        <v>179</v>
      </c>
      <c r="N1" s="27" t="s">
        <v>180</v>
      </c>
      <c r="O1" s="27" t="s">
        <v>181</v>
      </c>
      <c r="P1" s="27" t="s">
        <v>182</v>
      </c>
      <c r="Q1" s="27" t="s">
        <v>183</v>
      </c>
      <c r="R1" s="27" t="s">
        <v>184</v>
      </c>
      <c r="S1" s="27" t="s">
        <v>185</v>
      </c>
      <c r="T1" s="27" t="s">
        <v>186</v>
      </c>
    </row>
    <row r="2" ht="54.75" customHeight="1">
      <c r="A2" s="19" t="s">
        <v>187</v>
      </c>
      <c r="B2" s="5" t="s">
        <v>188</v>
      </c>
      <c r="C2" s="5" t="s">
        <v>189</v>
      </c>
      <c r="D2" s="5" t="s">
        <v>190</v>
      </c>
      <c r="E2" s="5" t="s">
        <v>191</v>
      </c>
      <c r="F2" s="5" t="s">
        <v>192</v>
      </c>
      <c r="G2" s="5" t="s">
        <v>193</v>
      </c>
      <c r="H2" s="19">
        <v>4.0</v>
      </c>
      <c r="I2" s="19">
        <v>5.0</v>
      </c>
      <c r="J2" s="19">
        <f t="shared" ref="J2:J16" si="1">H2*I2</f>
        <v>20</v>
      </c>
      <c r="K2" s="28" t="str">
        <f t="shared" ref="K2:K16" si="2">IF(J2="","",IF(J2&gt;=20,"Extreme",IF(J2&gt;=15,"Critical",IF(J2&gt;=10,"High",IF(J2&gt;=5,"Medium",IF(J2&gt;=1,"Low",""))))))</f>
        <v>Extreme</v>
      </c>
      <c r="L2" s="5" t="s">
        <v>194</v>
      </c>
      <c r="M2" s="19" t="s">
        <v>72</v>
      </c>
      <c r="N2" s="19">
        <v>3.0</v>
      </c>
      <c r="O2" s="19">
        <v>4.0</v>
      </c>
      <c r="P2" s="19">
        <f t="shared" ref="P2:P16" si="3">N2*O2</f>
        <v>12</v>
      </c>
      <c r="Q2" s="29" t="str">
        <f t="shared" ref="Q2:Q16" si="4">IF(P2="","",IF(P2&gt;=20,"Extreme",IF(P2&gt;=15,"Critical",IF(P2&gt;=10,"High",IF(P2&gt;=5,"Medium",IF(P2&gt;=1,"Low",""))))))</f>
        <v>High</v>
      </c>
      <c r="R2" s="5" t="s">
        <v>195</v>
      </c>
      <c r="S2" s="5" t="s">
        <v>103</v>
      </c>
      <c r="T2" s="19" t="s">
        <v>196</v>
      </c>
    </row>
    <row r="3" ht="54.75" customHeight="1">
      <c r="A3" s="20" t="s">
        <v>197</v>
      </c>
      <c r="B3" s="7" t="s">
        <v>198</v>
      </c>
      <c r="C3" s="7" t="s">
        <v>199</v>
      </c>
      <c r="D3" s="7" t="s">
        <v>190</v>
      </c>
      <c r="E3" s="7" t="s">
        <v>200</v>
      </c>
      <c r="F3" s="7" t="s">
        <v>201</v>
      </c>
      <c r="G3" s="7" t="s">
        <v>202</v>
      </c>
      <c r="H3" s="20">
        <v>3.0</v>
      </c>
      <c r="I3" s="20">
        <v>5.0</v>
      </c>
      <c r="J3" s="30">
        <f t="shared" si="1"/>
        <v>15</v>
      </c>
      <c r="K3" s="28" t="str">
        <f t="shared" si="2"/>
        <v>Critical</v>
      </c>
      <c r="L3" s="7" t="s">
        <v>203</v>
      </c>
      <c r="M3" s="20" t="s">
        <v>204</v>
      </c>
      <c r="N3" s="20">
        <v>2.0</v>
      </c>
      <c r="O3" s="20">
        <v>4.0</v>
      </c>
      <c r="P3" s="30">
        <f t="shared" si="3"/>
        <v>8</v>
      </c>
      <c r="Q3" s="29" t="str">
        <f t="shared" si="4"/>
        <v>Medium</v>
      </c>
      <c r="R3" s="7" t="s">
        <v>205</v>
      </c>
      <c r="S3" s="7" t="s">
        <v>103</v>
      </c>
      <c r="T3" s="20" t="s">
        <v>196</v>
      </c>
    </row>
    <row r="4" ht="54.75" customHeight="1">
      <c r="A4" s="19" t="s">
        <v>206</v>
      </c>
      <c r="B4" s="5" t="s">
        <v>207</v>
      </c>
      <c r="C4" s="5" t="s">
        <v>208</v>
      </c>
      <c r="D4" s="5" t="s">
        <v>209</v>
      </c>
      <c r="E4" s="5" t="s">
        <v>210</v>
      </c>
      <c r="F4" s="5" t="s">
        <v>211</v>
      </c>
      <c r="G4" s="5" t="s">
        <v>212</v>
      </c>
      <c r="H4" s="19">
        <v>3.0</v>
      </c>
      <c r="I4" s="19">
        <v>4.0</v>
      </c>
      <c r="J4" s="19">
        <f t="shared" si="1"/>
        <v>12</v>
      </c>
      <c r="K4" s="28" t="str">
        <f t="shared" si="2"/>
        <v>High</v>
      </c>
      <c r="L4" s="5" t="s">
        <v>213</v>
      </c>
      <c r="M4" s="19" t="s">
        <v>72</v>
      </c>
      <c r="N4" s="19">
        <v>2.0</v>
      </c>
      <c r="O4" s="19">
        <v>3.0</v>
      </c>
      <c r="P4" s="19">
        <f t="shared" si="3"/>
        <v>6</v>
      </c>
      <c r="Q4" s="29" t="str">
        <f t="shared" si="4"/>
        <v>Medium</v>
      </c>
      <c r="R4" s="5" t="s">
        <v>214</v>
      </c>
      <c r="S4" s="5" t="s">
        <v>103</v>
      </c>
      <c r="T4" s="19" t="s">
        <v>196</v>
      </c>
    </row>
    <row r="5" ht="54.75" customHeight="1">
      <c r="A5" s="20" t="s">
        <v>215</v>
      </c>
      <c r="B5" s="7" t="s">
        <v>216</v>
      </c>
      <c r="C5" s="7" t="s">
        <v>217</v>
      </c>
      <c r="D5" s="7" t="s">
        <v>190</v>
      </c>
      <c r="E5" s="7" t="s">
        <v>218</v>
      </c>
      <c r="F5" s="7" t="s">
        <v>219</v>
      </c>
      <c r="G5" s="7" t="s">
        <v>220</v>
      </c>
      <c r="H5" s="20">
        <v>4.0</v>
      </c>
      <c r="I5" s="20">
        <v>4.0</v>
      </c>
      <c r="J5" s="30">
        <f t="shared" si="1"/>
        <v>16</v>
      </c>
      <c r="K5" s="28" t="str">
        <f t="shared" si="2"/>
        <v>Critical</v>
      </c>
      <c r="L5" s="7" t="s">
        <v>221</v>
      </c>
      <c r="M5" s="20" t="s">
        <v>204</v>
      </c>
      <c r="N5" s="20">
        <v>3.0</v>
      </c>
      <c r="O5" s="20">
        <v>3.0</v>
      </c>
      <c r="P5" s="30">
        <f t="shared" si="3"/>
        <v>9</v>
      </c>
      <c r="Q5" s="29" t="str">
        <f t="shared" si="4"/>
        <v>Medium</v>
      </c>
      <c r="R5" s="7" t="s">
        <v>222</v>
      </c>
      <c r="S5" s="7" t="s">
        <v>148</v>
      </c>
      <c r="T5" s="20" t="s">
        <v>196</v>
      </c>
    </row>
    <row r="6" ht="54.75" customHeight="1">
      <c r="A6" s="19" t="s">
        <v>223</v>
      </c>
      <c r="B6" s="5" t="s">
        <v>224</v>
      </c>
      <c r="C6" s="5" t="s">
        <v>225</v>
      </c>
      <c r="D6" s="5" t="s">
        <v>190</v>
      </c>
      <c r="E6" s="5" t="s">
        <v>226</v>
      </c>
      <c r="F6" s="5" t="s">
        <v>227</v>
      </c>
      <c r="G6" s="5" t="s">
        <v>228</v>
      </c>
      <c r="H6" s="19">
        <v>3.0</v>
      </c>
      <c r="I6" s="19">
        <v>4.0</v>
      </c>
      <c r="J6" s="19">
        <f t="shared" si="1"/>
        <v>12</v>
      </c>
      <c r="K6" s="28" t="str">
        <f t="shared" si="2"/>
        <v>High</v>
      </c>
      <c r="L6" s="5" t="s">
        <v>229</v>
      </c>
      <c r="M6" s="19" t="s">
        <v>72</v>
      </c>
      <c r="N6" s="19">
        <v>2.0</v>
      </c>
      <c r="O6" s="19">
        <v>3.0</v>
      </c>
      <c r="P6" s="19">
        <f t="shared" si="3"/>
        <v>6</v>
      </c>
      <c r="Q6" s="29" t="str">
        <f t="shared" si="4"/>
        <v>Medium</v>
      </c>
      <c r="R6" s="5" t="s">
        <v>230</v>
      </c>
      <c r="S6" s="5" t="s">
        <v>103</v>
      </c>
      <c r="T6" s="19" t="s">
        <v>196</v>
      </c>
    </row>
    <row r="7" ht="54.75" customHeight="1">
      <c r="A7" s="20" t="s">
        <v>231</v>
      </c>
      <c r="B7" s="7" t="s">
        <v>232</v>
      </c>
      <c r="C7" s="7" t="s">
        <v>233</v>
      </c>
      <c r="D7" s="7" t="s">
        <v>190</v>
      </c>
      <c r="E7" s="7" t="s">
        <v>234</v>
      </c>
      <c r="F7" s="7" t="s">
        <v>133</v>
      </c>
      <c r="G7" s="7" t="s">
        <v>235</v>
      </c>
      <c r="H7" s="20">
        <v>3.0</v>
      </c>
      <c r="I7" s="20">
        <v>3.0</v>
      </c>
      <c r="J7" s="30">
        <f t="shared" si="1"/>
        <v>9</v>
      </c>
      <c r="K7" s="28" t="str">
        <f t="shared" si="2"/>
        <v>Medium</v>
      </c>
      <c r="L7" s="7" t="s">
        <v>236</v>
      </c>
      <c r="M7" s="20" t="s">
        <v>204</v>
      </c>
      <c r="N7" s="20">
        <v>2.0</v>
      </c>
      <c r="O7" s="20">
        <v>3.0</v>
      </c>
      <c r="P7" s="30">
        <f t="shared" si="3"/>
        <v>6</v>
      </c>
      <c r="Q7" s="29" t="str">
        <f t="shared" si="4"/>
        <v>Medium</v>
      </c>
      <c r="R7" s="7" t="s">
        <v>237</v>
      </c>
      <c r="S7" s="7" t="s">
        <v>103</v>
      </c>
      <c r="T7" s="20" t="s">
        <v>196</v>
      </c>
    </row>
    <row r="8" ht="54.75" customHeight="1">
      <c r="A8" s="19" t="s">
        <v>238</v>
      </c>
      <c r="B8" s="5" t="s">
        <v>239</v>
      </c>
      <c r="C8" s="5" t="s">
        <v>240</v>
      </c>
      <c r="D8" s="5" t="s">
        <v>241</v>
      </c>
      <c r="E8" s="5" t="s">
        <v>242</v>
      </c>
      <c r="F8" s="5" t="s">
        <v>243</v>
      </c>
      <c r="G8" s="5" t="s">
        <v>244</v>
      </c>
      <c r="H8" s="19">
        <v>2.0</v>
      </c>
      <c r="I8" s="19">
        <v>4.0</v>
      </c>
      <c r="J8" s="19">
        <f t="shared" si="1"/>
        <v>8</v>
      </c>
      <c r="K8" s="28" t="str">
        <f t="shared" si="2"/>
        <v>Medium</v>
      </c>
      <c r="L8" s="5" t="s">
        <v>245</v>
      </c>
      <c r="M8" s="19" t="s">
        <v>204</v>
      </c>
      <c r="N8" s="19">
        <v>2.0</v>
      </c>
      <c r="O8" s="19">
        <v>3.0</v>
      </c>
      <c r="P8" s="19">
        <f t="shared" si="3"/>
        <v>6</v>
      </c>
      <c r="Q8" s="29" t="str">
        <f t="shared" si="4"/>
        <v>Medium</v>
      </c>
      <c r="R8" s="5" t="s">
        <v>246</v>
      </c>
      <c r="S8" s="5" t="s">
        <v>148</v>
      </c>
      <c r="T8" s="19" t="s">
        <v>247</v>
      </c>
    </row>
    <row r="9" ht="54.75" customHeight="1">
      <c r="A9" s="20" t="s">
        <v>248</v>
      </c>
      <c r="B9" s="7" t="s">
        <v>249</v>
      </c>
      <c r="C9" s="7" t="s">
        <v>250</v>
      </c>
      <c r="D9" s="7" t="s">
        <v>209</v>
      </c>
      <c r="E9" s="7" t="s">
        <v>251</v>
      </c>
      <c r="F9" s="7" t="s">
        <v>252</v>
      </c>
      <c r="G9" s="7" t="s">
        <v>253</v>
      </c>
      <c r="H9" s="20">
        <v>4.0</v>
      </c>
      <c r="I9" s="20">
        <v>3.0</v>
      </c>
      <c r="J9" s="30">
        <f t="shared" si="1"/>
        <v>12</v>
      </c>
      <c r="K9" s="28" t="str">
        <f t="shared" si="2"/>
        <v>High</v>
      </c>
      <c r="L9" s="7" t="s">
        <v>254</v>
      </c>
      <c r="M9" s="20" t="s">
        <v>72</v>
      </c>
      <c r="N9" s="20">
        <v>3.0</v>
      </c>
      <c r="O9" s="20">
        <v>2.0</v>
      </c>
      <c r="P9" s="30">
        <f t="shared" si="3"/>
        <v>6</v>
      </c>
      <c r="Q9" s="29" t="str">
        <f t="shared" si="4"/>
        <v>Medium</v>
      </c>
      <c r="R9" s="7" t="s">
        <v>255</v>
      </c>
      <c r="S9" s="7" t="s">
        <v>148</v>
      </c>
      <c r="T9" s="20" t="s">
        <v>196</v>
      </c>
    </row>
    <row r="10" ht="54.75" customHeight="1">
      <c r="A10" s="19" t="s">
        <v>256</v>
      </c>
      <c r="B10" s="5" t="s">
        <v>257</v>
      </c>
      <c r="C10" s="5" t="s">
        <v>258</v>
      </c>
      <c r="D10" s="5" t="s">
        <v>241</v>
      </c>
      <c r="E10" s="5" t="s">
        <v>259</v>
      </c>
      <c r="F10" s="5" t="s">
        <v>260</v>
      </c>
      <c r="G10" s="5" t="s">
        <v>261</v>
      </c>
      <c r="H10" s="19">
        <v>2.0</v>
      </c>
      <c r="I10" s="19">
        <v>4.0</v>
      </c>
      <c r="J10" s="19">
        <f t="shared" si="1"/>
        <v>8</v>
      </c>
      <c r="K10" s="28" t="str">
        <f t="shared" si="2"/>
        <v>Medium</v>
      </c>
      <c r="L10" s="5" t="s">
        <v>262</v>
      </c>
      <c r="M10" s="19" t="s">
        <v>72</v>
      </c>
      <c r="N10" s="19">
        <v>2.0</v>
      </c>
      <c r="O10" s="19">
        <v>3.0</v>
      </c>
      <c r="P10" s="19">
        <f t="shared" si="3"/>
        <v>6</v>
      </c>
      <c r="Q10" s="29" t="str">
        <f t="shared" si="4"/>
        <v>Medium</v>
      </c>
      <c r="R10" s="5" t="s">
        <v>263</v>
      </c>
      <c r="S10" s="5" t="s">
        <v>264</v>
      </c>
      <c r="T10" s="19" t="s">
        <v>196</v>
      </c>
    </row>
    <row r="11" ht="54.75" customHeight="1">
      <c r="A11" s="20" t="s">
        <v>265</v>
      </c>
      <c r="B11" s="7" t="s">
        <v>266</v>
      </c>
      <c r="C11" s="7" t="s">
        <v>267</v>
      </c>
      <c r="D11" s="7" t="s">
        <v>209</v>
      </c>
      <c r="E11" s="7" t="s">
        <v>268</v>
      </c>
      <c r="F11" s="7" t="s">
        <v>269</v>
      </c>
      <c r="G11" s="7" t="s">
        <v>270</v>
      </c>
      <c r="H11" s="20">
        <v>3.0</v>
      </c>
      <c r="I11" s="20">
        <v>3.0</v>
      </c>
      <c r="J11" s="30">
        <f t="shared" si="1"/>
        <v>9</v>
      </c>
      <c r="K11" s="28" t="str">
        <f t="shared" si="2"/>
        <v>Medium</v>
      </c>
      <c r="L11" s="7" t="s">
        <v>271</v>
      </c>
      <c r="M11" s="20" t="s">
        <v>204</v>
      </c>
      <c r="N11" s="20">
        <v>2.0</v>
      </c>
      <c r="O11" s="30">
        <v>3.0</v>
      </c>
      <c r="P11" s="29">
        <f t="shared" si="3"/>
        <v>6</v>
      </c>
      <c r="Q11" s="29" t="str">
        <f t="shared" si="4"/>
        <v>Medium</v>
      </c>
      <c r="R11" s="7" t="s">
        <v>272</v>
      </c>
      <c r="S11" s="7" t="s">
        <v>148</v>
      </c>
      <c r="T11" s="20" t="s">
        <v>196</v>
      </c>
    </row>
    <row r="12" ht="54.75" customHeight="1">
      <c r="A12" s="19" t="s">
        <v>273</v>
      </c>
      <c r="B12" s="5" t="s">
        <v>274</v>
      </c>
      <c r="C12" s="5" t="s">
        <v>275</v>
      </c>
      <c r="D12" s="5" t="s">
        <v>241</v>
      </c>
      <c r="E12" s="5" t="s">
        <v>276</v>
      </c>
      <c r="F12" s="5" t="s">
        <v>277</v>
      </c>
      <c r="G12" s="5" t="s">
        <v>278</v>
      </c>
      <c r="H12" s="19">
        <v>2.0</v>
      </c>
      <c r="I12" s="19">
        <v>3.0</v>
      </c>
      <c r="J12" s="19">
        <f t="shared" si="1"/>
        <v>6</v>
      </c>
      <c r="K12" s="28" t="str">
        <f t="shared" si="2"/>
        <v>Medium</v>
      </c>
      <c r="L12" s="5" t="s">
        <v>279</v>
      </c>
      <c r="M12" s="19" t="s">
        <v>280</v>
      </c>
      <c r="N12" s="19">
        <v>2.0</v>
      </c>
      <c r="O12" s="19">
        <v>3.0</v>
      </c>
      <c r="P12" s="19">
        <f t="shared" si="3"/>
        <v>6</v>
      </c>
      <c r="Q12" s="29" t="str">
        <f t="shared" si="4"/>
        <v>Medium</v>
      </c>
      <c r="R12" s="5" t="s">
        <v>281</v>
      </c>
      <c r="S12" s="5" t="s">
        <v>282</v>
      </c>
      <c r="T12" s="19" t="s">
        <v>196</v>
      </c>
    </row>
    <row r="13" ht="54.75" customHeight="1">
      <c r="A13" s="20" t="s">
        <v>283</v>
      </c>
      <c r="B13" s="7" t="s">
        <v>284</v>
      </c>
      <c r="C13" s="7" t="s">
        <v>285</v>
      </c>
      <c r="D13" s="7" t="s">
        <v>190</v>
      </c>
      <c r="E13" s="7" t="s">
        <v>286</v>
      </c>
      <c r="F13" s="7" t="s">
        <v>287</v>
      </c>
      <c r="G13" s="7" t="s">
        <v>288</v>
      </c>
      <c r="H13" s="20">
        <v>3.0</v>
      </c>
      <c r="I13" s="20">
        <v>4.0</v>
      </c>
      <c r="J13" s="30">
        <f t="shared" si="1"/>
        <v>12</v>
      </c>
      <c r="K13" s="28" t="str">
        <f t="shared" si="2"/>
        <v>High</v>
      </c>
      <c r="L13" s="7" t="s">
        <v>289</v>
      </c>
      <c r="M13" s="20" t="s">
        <v>204</v>
      </c>
      <c r="N13" s="20">
        <v>2.0</v>
      </c>
      <c r="O13" s="20">
        <v>3.0</v>
      </c>
      <c r="P13" s="30">
        <f t="shared" si="3"/>
        <v>6</v>
      </c>
      <c r="Q13" s="29" t="str">
        <f t="shared" si="4"/>
        <v>Medium</v>
      </c>
      <c r="R13" s="7" t="s">
        <v>290</v>
      </c>
      <c r="S13" s="7" t="s">
        <v>103</v>
      </c>
      <c r="T13" s="20" t="s">
        <v>196</v>
      </c>
    </row>
    <row r="14" ht="54.75" customHeight="1">
      <c r="A14" s="19" t="s">
        <v>291</v>
      </c>
      <c r="B14" s="5" t="s">
        <v>292</v>
      </c>
      <c r="C14" s="5" t="s">
        <v>293</v>
      </c>
      <c r="D14" s="5" t="s">
        <v>241</v>
      </c>
      <c r="E14" s="5" t="s">
        <v>294</v>
      </c>
      <c r="F14" s="5" t="s">
        <v>295</v>
      </c>
      <c r="G14" s="5" t="s">
        <v>296</v>
      </c>
      <c r="H14" s="19">
        <v>2.0</v>
      </c>
      <c r="I14" s="19">
        <v>3.0</v>
      </c>
      <c r="J14" s="19">
        <f t="shared" si="1"/>
        <v>6</v>
      </c>
      <c r="K14" s="28" t="str">
        <f t="shared" si="2"/>
        <v>Medium</v>
      </c>
      <c r="L14" s="5" t="s">
        <v>297</v>
      </c>
      <c r="M14" s="19" t="s">
        <v>204</v>
      </c>
      <c r="N14" s="19">
        <v>2.0</v>
      </c>
      <c r="O14" s="19">
        <v>2.0</v>
      </c>
      <c r="P14" s="19">
        <f t="shared" si="3"/>
        <v>4</v>
      </c>
      <c r="Q14" s="29" t="str">
        <f t="shared" si="4"/>
        <v>Low</v>
      </c>
      <c r="R14" s="5" t="s">
        <v>298</v>
      </c>
      <c r="S14" s="5" t="s">
        <v>103</v>
      </c>
      <c r="T14" s="19" t="s">
        <v>196</v>
      </c>
    </row>
    <row r="15" ht="54.75" customHeight="1">
      <c r="A15" s="20" t="s">
        <v>299</v>
      </c>
      <c r="B15" s="7" t="s">
        <v>300</v>
      </c>
      <c r="C15" s="7" t="s">
        <v>301</v>
      </c>
      <c r="D15" s="7" t="s">
        <v>209</v>
      </c>
      <c r="E15" s="7" t="s">
        <v>302</v>
      </c>
      <c r="F15" s="7" t="s">
        <v>303</v>
      </c>
      <c r="G15" s="7" t="s">
        <v>304</v>
      </c>
      <c r="H15" s="20">
        <v>2.0</v>
      </c>
      <c r="I15" s="20">
        <v>5.0</v>
      </c>
      <c r="J15" s="30">
        <f t="shared" si="1"/>
        <v>10</v>
      </c>
      <c r="K15" s="28" t="str">
        <f t="shared" si="2"/>
        <v>High</v>
      </c>
      <c r="L15" s="7" t="s">
        <v>305</v>
      </c>
      <c r="M15" s="20" t="s">
        <v>204</v>
      </c>
      <c r="N15" s="20">
        <v>2.0</v>
      </c>
      <c r="O15" s="20">
        <v>4.0</v>
      </c>
      <c r="P15" s="30">
        <f t="shared" si="3"/>
        <v>8</v>
      </c>
      <c r="Q15" s="29" t="str">
        <f t="shared" si="4"/>
        <v>Medium</v>
      </c>
      <c r="R15" s="7" t="s">
        <v>306</v>
      </c>
      <c r="S15" s="7" t="s">
        <v>103</v>
      </c>
      <c r="T15" s="20" t="s">
        <v>196</v>
      </c>
    </row>
    <row r="16" ht="54.75" customHeight="1">
      <c r="A16" s="19" t="s">
        <v>307</v>
      </c>
      <c r="B16" s="5" t="s">
        <v>308</v>
      </c>
      <c r="C16" s="5" t="s">
        <v>309</v>
      </c>
      <c r="D16" s="5" t="s">
        <v>241</v>
      </c>
      <c r="E16" s="5" t="s">
        <v>310</v>
      </c>
      <c r="F16" s="5" t="s">
        <v>219</v>
      </c>
      <c r="G16" s="5" t="s">
        <v>311</v>
      </c>
      <c r="H16" s="19">
        <v>3.0</v>
      </c>
      <c r="I16" s="19">
        <v>3.0</v>
      </c>
      <c r="J16" s="19">
        <f t="shared" si="1"/>
        <v>9</v>
      </c>
      <c r="K16" s="28" t="str">
        <f t="shared" si="2"/>
        <v>Medium</v>
      </c>
      <c r="L16" s="5" t="s">
        <v>312</v>
      </c>
      <c r="M16" s="19" t="s">
        <v>72</v>
      </c>
      <c r="N16" s="19">
        <v>2.0</v>
      </c>
      <c r="O16" s="19">
        <v>2.0</v>
      </c>
      <c r="P16" s="19">
        <f t="shared" si="3"/>
        <v>4</v>
      </c>
      <c r="Q16" s="29" t="str">
        <f t="shared" si="4"/>
        <v>Low</v>
      </c>
      <c r="R16" s="5" t="s">
        <v>313</v>
      </c>
      <c r="S16" s="5" t="s">
        <v>148</v>
      </c>
      <c r="T16" s="19" t="s">
        <v>196</v>
      </c>
    </row>
    <row r="19">
      <c r="A19" s="31" t="s">
        <v>314</v>
      </c>
      <c r="B19" s="17"/>
      <c r="C19" s="17"/>
      <c r="D19" s="2"/>
    </row>
    <row r="20">
      <c r="A20" s="18" t="s">
        <v>68</v>
      </c>
      <c r="B20" s="18" t="s">
        <v>315</v>
      </c>
      <c r="C20" s="18" t="s">
        <v>316</v>
      </c>
      <c r="D20" s="18" t="s">
        <v>317</v>
      </c>
    </row>
    <row r="21" ht="15.75" customHeight="1">
      <c r="A21" s="25" t="s">
        <v>88</v>
      </c>
      <c r="B21" s="25">
        <f t="shared" ref="B21:B25" si="5">COUNTIF($K$2:$K$18,A21)
</f>
        <v>1</v>
      </c>
      <c r="C21" s="25">
        <f t="shared" ref="C21:C25" si="6">COUNTIF($Q$2:$Q$18,A21)
</f>
        <v>0</v>
      </c>
      <c r="D21" s="25">
        <f t="shared" ref="D21:D25" si="7">C21-B21</f>
        <v>-1</v>
      </c>
    </row>
    <row r="22" ht="15.75" customHeight="1">
      <c r="A22" s="24" t="s">
        <v>84</v>
      </c>
      <c r="B22" s="24">
        <f t="shared" si="5"/>
        <v>2</v>
      </c>
      <c r="C22" s="24">
        <f t="shared" si="6"/>
        <v>0</v>
      </c>
      <c r="D22" s="24">
        <f t="shared" si="7"/>
        <v>-2</v>
      </c>
    </row>
    <row r="23" ht="15.75" customHeight="1">
      <c r="A23" s="23" t="s">
        <v>80</v>
      </c>
      <c r="B23" s="23">
        <f t="shared" si="5"/>
        <v>5</v>
      </c>
      <c r="C23" s="23">
        <f t="shared" si="6"/>
        <v>1</v>
      </c>
      <c r="D23" s="23">
        <f t="shared" si="7"/>
        <v>-4</v>
      </c>
    </row>
    <row r="24" ht="15.75" customHeight="1">
      <c r="A24" s="22" t="s">
        <v>76</v>
      </c>
      <c r="B24" s="22">
        <f t="shared" si="5"/>
        <v>7</v>
      </c>
      <c r="C24" s="22">
        <f t="shared" si="6"/>
        <v>12</v>
      </c>
      <c r="D24" s="22">
        <f t="shared" si="7"/>
        <v>5</v>
      </c>
    </row>
    <row r="25" ht="15.75" customHeight="1">
      <c r="A25" s="21" t="s">
        <v>72</v>
      </c>
      <c r="B25" s="21">
        <f t="shared" si="5"/>
        <v>0</v>
      </c>
      <c r="C25" s="21">
        <f t="shared" si="6"/>
        <v>2</v>
      </c>
      <c r="D25" s="21">
        <f t="shared" si="7"/>
        <v>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9:D19"/>
  </mergeCells>
  <conditionalFormatting sqref="K2:K26 Q2:Q16">
    <cfRule type="containsText" dxfId="0" priority="1" operator="containsText" text="Extreme">
      <formula>NOT(ISERROR(SEARCH(("Extreme"),(K2))))</formula>
    </cfRule>
  </conditionalFormatting>
  <conditionalFormatting sqref="K2:K21">
    <cfRule type="containsText" dxfId="1" priority="2" operator="containsText" text="Critical">
      <formula>NOT(ISERROR(SEARCH(("Critical"),(K2))))</formula>
    </cfRule>
  </conditionalFormatting>
  <conditionalFormatting sqref="K2:K21 Q2:Q16">
    <cfRule type="containsText" dxfId="2" priority="3" operator="containsText" text="High">
      <formula>NOT(ISERROR(SEARCH(("High"),(K2))))</formula>
    </cfRule>
  </conditionalFormatting>
  <conditionalFormatting sqref="K2:K21 Q2:Q16">
    <cfRule type="containsText" dxfId="3" priority="4" operator="containsText" text="Medium">
      <formula>NOT(ISERROR(SEARCH(("Medium"),(K2))))</formula>
    </cfRule>
  </conditionalFormatting>
  <conditionalFormatting sqref="K2:K21 Q2:Q16">
    <cfRule type="containsText" dxfId="4" priority="5" operator="containsText" text="Low">
      <formula>NOT(ISERROR(SEARCH(("Low"),(K2))))</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sheetViews>
  <sheetFormatPr customHeight="1" defaultColWidth="14.43" defaultRowHeight="15.0"/>
  <cols>
    <col customWidth="1" min="1" max="1" width="20.0"/>
    <col customWidth="1" min="2" max="2" width="60.0"/>
    <col customWidth="1" min="3" max="4" width="16.0"/>
    <col customWidth="1" min="5" max="5" width="10.0"/>
    <col customWidth="1" min="6" max="6" width="28.0"/>
    <col customWidth="1" min="7" max="7" width="22.0"/>
    <col customWidth="1" min="8" max="26" width="8.71"/>
  </cols>
  <sheetData>
    <row r="1" ht="30.0" customHeight="1">
      <c r="A1" s="32" t="s">
        <v>318</v>
      </c>
      <c r="B1" s="17"/>
      <c r="C1" s="17"/>
      <c r="D1" s="17"/>
      <c r="E1" s="17"/>
      <c r="F1" s="17"/>
      <c r="G1" s="2"/>
    </row>
    <row r="3">
      <c r="A3" s="33" t="s">
        <v>319</v>
      </c>
      <c r="B3" s="17"/>
      <c r="C3" s="2"/>
    </row>
    <row r="4">
      <c r="A4" s="18" t="s">
        <v>68</v>
      </c>
      <c r="B4" s="18" t="s">
        <v>320</v>
      </c>
      <c r="C4" s="18" t="s">
        <v>321</v>
      </c>
    </row>
    <row r="5">
      <c r="A5" s="25" t="s">
        <v>88</v>
      </c>
      <c r="B5" s="25">
        <f>'Risk Register'!B21</f>
        <v>1</v>
      </c>
      <c r="C5" s="25">
        <f>'Risk Register'!C21</f>
        <v>0</v>
      </c>
    </row>
    <row r="6">
      <c r="A6" s="24" t="s">
        <v>84</v>
      </c>
      <c r="B6" s="24">
        <f>'Risk Register'!B22</f>
        <v>2</v>
      </c>
      <c r="C6" s="24">
        <f>'Risk Register'!C22</f>
        <v>0</v>
      </c>
    </row>
    <row r="7">
      <c r="A7" s="23" t="s">
        <v>80</v>
      </c>
      <c r="B7" s="23">
        <f>'Risk Register'!B23</f>
        <v>5</v>
      </c>
      <c r="C7" s="23">
        <f>'Risk Register'!C23</f>
        <v>1</v>
      </c>
    </row>
    <row r="8">
      <c r="A8" s="22" t="s">
        <v>76</v>
      </c>
      <c r="B8" s="22">
        <f>'Risk Register'!B24</f>
        <v>7</v>
      </c>
      <c r="C8" s="22">
        <f>'Risk Register'!C24</f>
        <v>12</v>
      </c>
    </row>
    <row r="9">
      <c r="A9" s="21" t="s">
        <v>72</v>
      </c>
      <c r="B9" s="21">
        <f>'Risk Register'!B25</f>
        <v>0</v>
      </c>
      <c r="C9" s="21">
        <f>'Risk Register'!C25</f>
        <v>2</v>
      </c>
    </row>
    <row r="10">
      <c r="A10" s="34" t="s">
        <v>322</v>
      </c>
      <c r="B10" s="34">
        <f t="shared" ref="B10:C10" si="1">SUM(B5:B9)</f>
        <v>15</v>
      </c>
      <c r="C10" s="34">
        <f t="shared" si="1"/>
        <v>15</v>
      </c>
    </row>
    <row r="12">
      <c r="A12" s="33" t="s">
        <v>323</v>
      </c>
      <c r="B12" s="17"/>
      <c r="C12" s="17"/>
      <c r="D12" s="17"/>
      <c r="E12" s="17"/>
      <c r="F12" s="17"/>
      <c r="G12" s="2"/>
    </row>
    <row r="13">
      <c r="A13" s="26" t="s">
        <v>167</v>
      </c>
      <c r="B13" s="26" t="s">
        <v>168</v>
      </c>
      <c r="C13" s="26" t="s">
        <v>324</v>
      </c>
      <c r="D13" s="26" t="s">
        <v>325</v>
      </c>
      <c r="E13" s="26" t="s">
        <v>326</v>
      </c>
      <c r="F13" s="26" t="s">
        <v>327</v>
      </c>
      <c r="G13" s="26" t="s">
        <v>328</v>
      </c>
    </row>
    <row r="14" ht="36.0" customHeight="1">
      <c r="A14" s="19" t="s">
        <v>187</v>
      </c>
      <c r="B14" s="5" t="s">
        <v>188</v>
      </c>
      <c r="C14" s="28">
        <v>20.0</v>
      </c>
      <c r="D14" s="28" t="s">
        <v>88</v>
      </c>
      <c r="E14" s="29">
        <v>12.0</v>
      </c>
      <c r="F14" s="29" t="s">
        <v>80</v>
      </c>
      <c r="G14" s="5" t="s">
        <v>329</v>
      </c>
    </row>
    <row r="15" ht="36.0" customHeight="1">
      <c r="A15" s="20" t="s">
        <v>215</v>
      </c>
      <c r="B15" s="7" t="s">
        <v>216</v>
      </c>
      <c r="C15" s="35">
        <v>16.0</v>
      </c>
      <c r="D15" s="35" t="s">
        <v>84</v>
      </c>
      <c r="E15" s="36">
        <v>9.0</v>
      </c>
      <c r="F15" s="36" t="s">
        <v>76</v>
      </c>
      <c r="G15" s="7" t="s">
        <v>330</v>
      </c>
    </row>
    <row r="16" ht="36.0" customHeight="1">
      <c r="A16" s="19" t="s">
        <v>197</v>
      </c>
      <c r="B16" s="5" t="s">
        <v>198</v>
      </c>
      <c r="C16" s="35">
        <v>15.0</v>
      </c>
      <c r="D16" s="35" t="s">
        <v>84</v>
      </c>
      <c r="E16" s="36">
        <v>8.0</v>
      </c>
      <c r="F16" s="36" t="s">
        <v>76</v>
      </c>
      <c r="G16" s="5" t="s">
        <v>331</v>
      </c>
    </row>
    <row r="17" ht="36.0" customHeight="1">
      <c r="A17" s="20" t="s">
        <v>299</v>
      </c>
      <c r="B17" s="7" t="s">
        <v>300</v>
      </c>
      <c r="C17" s="29">
        <v>10.0</v>
      </c>
      <c r="D17" s="29" t="s">
        <v>80</v>
      </c>
      <c r="E17" s="36">
        <v>8.0</v>
      </c>
      <c r="F17" s="36" t="s">
        <v>76</v>
      </c>
      <c r="G17" s="7" t="s">
        <v>332</v>
      </c>
    </row>
    <row r="18" ht="36.0" customHeight="1">
      <c r="A18" s="19" t="s">
        <v>206</v>
      </c>
      <c r="B18" s="5" t="s">
        <v>207</v>
      </c>
      <c r="C18" s="29">
        <v>12.0</v>
      </c>
      <c r="D18" s="29" t="s">
        <v>80</v>
      </c>
      <c r="E18" s="36">
        <v>6.0</v>
      </c>
      <c r="F18" s="36" t="s">
        <v>76</v>
      </c>
      <c r="G18" s="8" t="s">
        <v>333</v>
      </c>
    </row>
    <row r="21" ht="15.75" customHeight="1">
      <c r="A21" s="33" t="s">
        <v>334</v>
      </c>
      <c r="B21" s="17"/>
      <c r="C21" s="17"/>
      <c r="D21" s="17"/>
      <c r="E21" s="17"/>
      <c r="F21" s="17"/>
      <c r="G21" s="2"/>
    </row>
    <row r="22" ht="31.5" customHeight="1">
      <c r="A22" s="37" t="s">
        <v>335</v>
      </c>
      <c r="B22" s="38"/>
      <c r="C22" s="38"/>
      <c r="D22" s="38"/>
      <c r="E22" s="38"/>
      <c r="F22" s="38"/>
      <c r="G22" s="39"/>
    </row>
    <row r="23" ht="31.5" customHeight="1">
      <c r="A23" s="40" t="s">
        <v>336</v>
      </c>
      <c r="B23" s="38"/>
      <c r="C23" s="38"/>
      <c r="D23" s="38"/>
      <c r="E23" s="38"/>
      <c r="F23" s="38"/>
      <c r="G23" s="39"/>
    </row>
    <row r="24" ht="31.5" customHeight="1">
      <c r="A24" s="37" t="s">
        <v>337</v>
      </c>
      <c r="B24" s="38"/>
      <c r="C24" s="38"/>
      <c r="D24" s="38"/>
      <c r="E24" s="38"/>
      <c r="F24" s="38"/>
      <c r="G24" s="39"/>
    </row>
    <row r="25" ht="31.5" customHeight="1">
      <c r="A25" s="40" t="s">
        <v>338</v>
      </c>
      <c r="B25" s="38"/>
      <c r="C25" s="38"/>
      <c r="D25" s="38"/>
      <c r="E25" s="38"/>
      <c r="F25" s="38"/>
      <c r="G25" s="39"/>
    </row>
    <row r="26" ht="31.5" customHeight="1">
      <c r="A26" s="37" t="s">
        <v>339</v>
      </c>
      <c r="B26" s="38"/>
      <c r="C26" s="38"/>
      <c r="D26" s="38"/>
      <c r="E26" s="38"/>
      <c r="F26" s="38"/>
      <c r="G26" s="39"/>
    </row>
    <row r="27" ht="31.5" customHeight="1">
      <c r="A27" s="40" t="s">
        <v>340</v>
      </c>
      <c r="B27" s="38"/>
      <c r="C27" s="38"/>
      <c r="D27" s="38"/>
      <c r="E27" s="38"/>
      <c r="F27" s="38"/>
      <c r="G27" s="39"/>
    </row>
    <row r="28" ht="31.5" customHeight="1">
      <c r="A28" s="37" t="s">
        <v>341</v>
      </c>
      <c r="B28" s="38"/>
      <c r="C28" s="38"/>
      <c r="D28" s="38"/>
      <c r="E28" s="38"/>
      <c r="F28" s="38"/>
      <c r="G28" s="39"/>
    </row>
    <row r="29" ht="15.75" customHeight="1"/>
    <row r="30" ht="15.75" customHeight="1">
      <c r="A30" s="33" t="s">
        <v>342</v>
      </c>
      <c r="B30" s="17"/>
      <c r="C30" s="17"/>
      <c r="D30" s="17"/>
      <c r="E30" s="17"/>
      <c r="F30" s="17"/>
      <c r="G30" s="2"/>
    </row>
    <row r="31" ht="15.75" customHeight="1">
      <c r="A31" s="41" t="s">
        <v>343</v>
      </c>
      <c r="B31" s="41" t="s">
        <v>344</v>
      </c>
      <c r="C31" s="41" t="s">
        <v>345</v>
      </c>
    </row>
    <row r="32" ht="25.5" customHeight="1">
      <c r="A32" s="35" t="s">
        <v>346</v>
      </c>
      <c r="B32" s="42" t="s">
        <v>347</v>
      </c>
      <c r="C32" s="35" t="s">
        <v>348</v>
      </c>
    </row>
    <row r="33" ht="25.5" customHeight="1">
      <c r="A33" s="35" t="s">
        <v>346</v>
      </c>
      <c r="B33" s="42" t="s">
        <v>349</v>
      </c>
      <c r="C33" s="35" t="s">
        <v>223</v>
      </c>
    </row>
    <row r="34" ht="25.5" customHeight="1">
      <c r="A34" s="35" t="s">
        <v>346</v>
      </c>
      <c r="B34" s="42" t="s">
        <v>350</v>
      </c>
      <c r="C34" s="35" t="s">
        <v>206</v>
      </c>
    </row>
    <row r="35" ht="25.5" customHeight="1">
      <c r="A35" s="35" t="s">
        <v>346</v>
      </c>
      <c r="B35" s="42" t="s">
        <v>351</v>
      </c>
      <c r="C35" s="35" t="s">
        <v>291</v>
      </c>
    </row>
    <row r="36" ht="25.5" customHeight="1">
      <c r="A36" s="43" t="s">
        <v>352</v>
      </c>
      <c r="B36" s="44" t="s">
        <v>353</v>
      </c>
      <c r="C36" s="43" t="s">
        <v>256</v>
      </c>
    </row>
    <row r="37" ht="25.5" customHeight="1">
      <c r="A37" s="43" t="s">
        <v>352</v>
      </c>
      <c r="B37" s="44" t="s">
        <v>354</v>
      </c>
      <c r="C37" s="43" t="s">
        <v>283</v>
      </c>
    </row>
    <row r="38" ht="25.5" customHeight="1">
      <c r="A38" s="43" t="s">
        <v>352</v>
      </c>
      <c r="B38" s="44" t="s">
        <v>355</v>
      </c>
      <c r="C38" s="43" t="s">
        <v>187</v>
      </c>
    </row>
    <row r="39" ht="25.5" customHeight="1">
      <c r="A39" s="43" t="s">
        <v>352</v>
      </c>
      <c r="B39" s="44" t="s">
        <v>356</v>
      </c>
      <c r="C39" s="43" t="s">
        <v>299</v>
      </c>
    </row>
    <row r="40" ht="25.5" customHeight="1">
      <c r="A40" s="36" t="s">
        <v>357</v>
      </c>
      <c r="B40" s="45" t="s">
        <v>358</v>
      </c>
      <c r="C40" s="36" t="s">
        <v>248</v>
      </c>
    </row>
    <row r="41" ht="25.5" customHeight="1">
      <c r="A41" s="36" t="s">
        <v>357</v>
      </c>
      <c r="B41" s="45" t="s">
        <v>359</v>
      </c>
      <c r="C41" s="36" t="s">
        <v>273</v>
      </c>
    </row>
    <row r="42" ht="25.5" customHeight="1">
      <c r="A42" s="36" t="s">
        <v>357</v>
      </c>
      <c r="B42" s="45" t="s">
        <v>360</v>
      </c>
      <c r="C42" s="36" t="s">
        <v>265</v>
      </c>
    </row>
    <row r="43" ht="25.5" customHeight="1">
      <c r="A43" s="36" t="s">
        <v>357</v>
      </c>
      <c r="B43" s="45" t="s">
        <v>361</v>
      </c>
      <c r="C43" s="36" t="s">
        <v>197</v>
      </c>
    </row>
    <row r="44" ht="25.5" customHeight="1">
      <c r="A44" s="19" t="s">
        <v>362</v>
      </c>
      <c r="B44" s="5" t="s">
        <v>363</v>
      </c>
      <c r="C44" s="19" t="s">
        <v>364</v>
      </c>
    </row>
    <row r="45" ht="25.5" customHeight="1">
      <c r="A45" s="19" t="s">
        <v>362</v>
      </c>
      <c r="B45" s="5" t="s">
        <v>365</v>
      </c>
      <c r="C45" s="19" t="s">
        <v>366</v>
      </c>
    </row>
    <row r="46" ht="25.5" customHeight="1">
      <c r="A46" s="19" t="s">
        <v>362</v>
      </c>
      <c r="B46" s="5" t="s">
        <v>367</v>
      </c>
      <c r="C46" s="19" t="s">
        <v>283</v>
      </c>
    </row>
    <row r="47" ht="25.5" customHeight="1">
      <c r="A47" s="19" t="s">
        <v>362</v>
      </c>
      <c r="B47" s="5" t="s">
        <v>368</v>
      </c>
      <c r="C47" s="19" t="s">
        <v>238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5:G25"/>
    <mergeCell ref="A26:G26"/>
    <mergeCell ref="A27:G27"/>
    <mergeCell ref="A28:G28"/>
    <mergeCell ref="A30:G30"/>
    <mergeCell ref="A1:G1"/>
    <mergeCell ref="A3:C3"/>
    <mergeCell ref="A12:G12"/>
    <mergeCell ref="A21:G21"/>
    <mergeCell ref="A22:G22"/>
    <mergeCell ref="A23:G23"/>
    <mergeCell ref="A24:G24"/>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2.0"/>
    <col customWidth="1" min="3" max="3" width="60.0"/>
    <col customWidth="1" min="4" max="4" width="44.0"/>
    <col customWidth="1" min="5" max="5" width="10.0"/>
    <col customWidth="1" min="6" max="6" width="36.0"/>
    <col customWidth="1" min="7" max="7" width="18.0"/>
    <col customWidth="1" min="8" max="26" width="8.71"/>
  </cols>
  <sheetData>
    <row r="1" ht="36.0" customHeight="1">
      <c r="A1" s="27" t="s">
        <v>369</v>
      </c>
      <c r="B1" s="27" t="s">
        <v>370</v>
      </c>
      <c r="C1" s="27" t="s">
        <v>371</v>
      </c>
      <c r="D1" s="27" t="s">
        <v>372</v>
      </c>
      <c r="E1" s="27" t="s">
        <v>373</v>
      </c>
      <c r="F1" s="27" t="s">
        <v>374</v>
      </c>
      <c r="G1" s="27" t="s">
        <v>375</v>
      </c>
    </row>
    <row r="2" ht="21.75" customHeight="1">
      <c r="A2" s="46" t="s">
        <v>376</v>
      </c>
      <c r="B2" s="38"/>
      <c r="C2" s="38"/>
      <c r="D2" s="38"/>
      <c r="E2" s="38"/>
      <c r="F2" s="38"/>
      <c r="G2" s="39"/>
    </row>
    <row r="3" ht="51.75" customHeight="1">
      <c r="A3" s="20" t="s">
        <v>377</v>
      </c>
      <c r="B3" s="20" t="s">
        <v>378</v>
      </c>
      <c r="C3" s="7" t="s">
        <v>379</v>
      </c>
      <c r="D3" s="7" t="s">
        <v>380</v>
      </c>
      <c r="E3" s="47">
        <v>1.0</v>
      </c>
      <c r="F3" s="7" t="s">
        <v>381</v>
      </c>
      <c r="G3" s="7" t="s">
        <v>382</v>
      </c>
    </row>
    <row r="4" ht="51.75" customHeight="1">
      <c r="A4" s="19" t="s">
        <v>377</v>
      </c>
      <c r="B4" s="19" t="s">
        <v>383</v>
      </c>
      <c r="C4" s="5" t="s">
        <v>384</v>
      </c>
      <c r="D4" s="5" t="s">
        <v>385</v>
      </c>
      <c r="E4" s="47">
        <v>1.0</v>
      </c>
      <c r="F4" s="5" t="s">
        <v>386</v>
      </c>
      <c r="G4" s="5" t="s">
        <v>238</v>
      </c>
    </row>
    <row r="5" ht="51.75" customHeight="1">
      <c r="A5" s="20" t="s">
        <v>377</v>
      </c>
      <c r="B5" s="20" t="s">
        <v>387</v>
      </c>
      <c r="C5" s="7" t="s">
        <v>388</v>
      </c>
      <c r="D5" s="7" t="s">
        <v>389</v>
      </c>
      <c r="E5" s="47">
        <v>1.0</v>
      </c>
      <c r="F5" s="7" t="s">
        <v>390</v>
      </c>
      <c r="G5" s="7" t="s">
        <v>382</v>
      </c>
    </row>
    <row r="6" ht="51.75" customHeight="1">
      <c r="A6" s="19" t="s">
        <v>377</v>
      </c>
      <c r="B6" s="19" t="s">
        <v>391</v>
      </c>
      <c r="C6" s="5" t="s">
        <v>392</v>
      </c>
      <c r="D6" s="5" t="s">
        <v>393</v>
      </c>
      <c r="E6" s="47">
        <v>1.0</v>
      </c>
      <c r="F6" s="5" t="s">
        <v>394</v>
      </c>
      <c r="G6" s="5" t="s">
        <v>395</v>
      </c>
    </row>
    <row r="7" ht="51.75" customHeight="1">
      <c r="A7" s="20" t="s">
        <v>377</v>
      </c>
      <c r="B7" s="20" t="s">
        <v>396</v>
      </c>
      <c r="C7" s="7" t="s">
        <v>397</v>
      </c>
      <c r="D7" s="7" t="s">
        <v>398</v>
      </c>
      <c r="E7" s="47">
        <v>1.0</v>
      </c>
      <c r="F7" s="7" t="s">
        <v>399</v>
      </c>
      <c r="G7" s="7" t="s">
        <v>238</v>
      </c>
    </row>
    <row r="8" ht="51.75" customHeight="1">
      <c r="A8" s="19" t="s">
        <v>377</v>
      </c>
      <c r="B8" s="19" t="s">
        <v>400</v>
      </c>
      <c r="C8" s="5" t="s">
        <v>401</v>
      </c>
      <c r="D8" s="5" t="s">
        <v>402</v>
      </c>
      <c r="E8" s="48">
        <v>2.0</v>
      </c>
      <c r="F8" s="5" t="s">
        <v>403</v>
      </c>
      <c r="G8" s="5" t="s">
        <v>238</v>
      </c>
    </row>
    <row r="9" ht="51.75" customHeight="1">
      <c r="A9" s="20" t="s">
        <v>377</v>
      </c>
      <c r="B9" s="20" t="s">
        <v>404</v>
      </c>
      <c r="C9" s="7" t="s">
        <v>405</v>
      </c>
      <c r="D9" s="7" t="s">
        <v>406</v>
      </c>
      <c r="E9" s="47">
        <v>1.0</v>
      </c>
      <c r="F9" s="7" t="s">
        <v>407</v>
      </c>
      <c r="G9" s="7" t="s">
        <v>408</v>
      </c>
    </row>
    <row r="10" ht="51.75" customHeight="1">
      <c r="A10" s="19" t="s">
        <v>377</v>
      </c>
      <c r="B10" s="19" t="s">
        <v>409</v>
      </c>
      <c r="C10" s="5" t="s">
        <v>410</v>
      </c>
      <c r="D10" s="5" t="s">
        <v>411</v>
      </c>
      <c r="E10" s="48">
        <v>2.0</v>
      </c>
      <c r="F10" s="5" t="s">
        <v>412</v>
      </c>
      <c r="G10" s="5" t="s">
        <v>256</v>
      </c>
    </row>
    <row r="11" ht="21.75" customHeight="1">
      <c r="A11" s="49" t="s">
        <v>413</v>
      </c>
      <c r="B11" s="38"/>
      <c r="C11" s="38"/>
      <c r="D11" s="38"/>
      <c r="E11" s="38"/>
      <c r="F11" s="38"/>
      <c r="G11" s="39"/>
    </row>
    <row r="12" ht="51.75" customHeight="1">
      <c r="A12" s="19" t="s">
        <v>414</v>
      </c>
      <c r="B12" s="19" t="s">
        <v>415</v>
      </c>
      <c r="C12" s="5" t="s">
        <v>416</v>
      </c>
      <c r="D12" s="5" t="s">
        <v>417</v>
      </c>
      <c r="E12" s="48">
        <v>2.0</v>
      </c>
      <c r="F12" s="5" t="s">
        <v>418</v>
      </c>
      <c r="G12" s="5" t="s">
        <v>419</v>
      </c>
    </row>
    <row r="13" ht="51.75" customHeight="1">
      <c r="A13" s="20" t="s">
        <v>414</v>
      </c>
      <c r="B13" s="20" t="s">
        <v>420</v>
      </c>
      <c r="C13" s="7" t="s">
        <v>421</v>
      </c>
      <c r="D13" s="7" t="s">
        <v>422</v>
      </c>
      <c r="E13" s="48">
        <v>2.0</v>
      </c>
      <c r="F13" s="7" t="s">
        <v>423</v>
      </c>
      <c r="G13" s="7" t="s">
        <v>283</v>
      </c>
    </row>
    <row r="14" ht="51.75" customHeight="1">
      <c r="A14" s="19" t="s">
        <v>414</v>
      </c>
      <c r="B14" s="19" t="s">
        <v>424</v>
      </c>
      <c r="C14" s="5" t="s">
        <v>425</v>
      </c>
      <c r="D14" s="5" t="s">
        <v>426</v>
      </c>
      <c r="E14" s="47">
        <v>1.0</v>
      </c>
      <c r="F14" s="5" t="s">
        <v>427</v>
      </c>
      <c r="G14" s="5" t="s">
        <v>428</v>
      </c>
    </row>
    <row r="15" ht="51.75" customHeight="1">
      <c r="A15" s="20" t="s">
        <v>414</v>
      </c>
      <c r="B15" s="20" t="s">
        <v>429</v>
      </c>
      <c r="C15" s="7" t="s">
        <v>430</v>
      </c>
      <c r="D15" s="7" t="s">
        <v>431</v>
      </c>
      <c r="E15" s="47">
        <v>1.0</v>
      </c>
      <c r="F15" s="7" t="s">
        <v>432</v>
      </c>
      <c r="G15" s="7" t="s">
        <v>433</v>
      </c>
    </row>
    <row r="16" ht="51.75" customHeight="1">
      <c r="A16" s="19" t="s">
        <v>414</v>
      </c>
      <c r="B16" s="19" t="s">
        <v>434</v>
      </c>
      <c r="C16" s="5" t="s">
        <v>435</v>
      </c>
      <c r="D16" s="5" t="s">
        <v>436</v>
      </c>
      <c r="E16" s="48">
        <v>2.0</v>
      </c>
      <c r="F16" s="5" t="s">
        <v>437</v>
      </c>
      <c r="G16" s="5" t="s">
        <v>438</v>
      </c>
    </row>
    <row r="17" ht="51.75" customHeight="1">
      <c r="A17" s="20" t="s">
        <v>414</v>
      </c>
      <c r="B17" s="20" t="s">
        <v>439</v>
      </c>
      <c r="C17" s="7" t="s">
        <v>440</v>
      </c>
      <c r="D17" s="7" t="s">
        <v>441</v>
      </c>
      <c r="E17" s="47">
        <v>1.0</v>
      </c>
      <c r="F17" s="7" t="s">
        <v>442</v>
      </c>
      <c r="G17" s="7" t="s">
        <v>443</v>
      </c>
    </row>
    <row r="18" ht="51.75" customHeight="1">
      <c r="A18" s="19" t="s">
        <v>414</v>
      </c>
      <c r="B18" s="19" t="s">
        <v>444</v>
      </c>
      <c r="C18" s="5" t="s">
        <v>445</v>
      </c>
      <c r="D18" s="5" t="s">
        <v>446</v>
      </c>
      <c r="E18" s="47">
        <v>1.0</v>
      </c>
      <c r="F18" s="5" t="s">
        <v>447</v>
      </c>
      <c r="G18" s="5" t="s">
        <v>382</v>
      </c>
    </row>
    <row r="19" ht="51.75" customHeight="1">
      <c r="A19" s="20" t="s">
        <v>414</v>
      </c>
      <c r="B19" s="20" t="s">
        <v>448</v>
      </c>
      <c r="C19" s="7" t="s">
        <v>449</v>
      </c>
      <c r="D19" s="7" t="s">
        <v>450</v>
      </c>
      <c r="E19" s="47">
        <v>1.0</v>
      </c>
      <c r="F19" s="7" t="s">
        <v>451</v>
      </c>
      <c r="G19" s="7" t="s">
        <v>382</v>
      </c>
    </row>
    <row r="20" ht="51.75" customHeight="1">
      <c r="A20" s="19" t="s">
        <v>414</v>
      </c>
      <c r="B20" s="19" t="s">
        <v>452</v>
      </c>
      <c r="C20" s="5" t="s">
        <v>453</v>
      </c>
      <c r="D20" s="5" t="s">
        <v>454</v>
      </c>
      <c r="E20" s="47">
        <v>1.0</v>
      </c>
      <c r="F20" s="5" t="s">
        <v>455</v>
      </c>
      <c r="G20" s="5" t="s">
        <v>256</v>
      </c>
    </row>
    <row r="21" ht="21.75" customHeight="1">
      <c r="A21" s="50" t="s">
        <v>456</v>
      </c>
      <c r="B21" s="38"/>
      <c r="C21" s="38"/>
      <c r="D21" s="38"/>
      <c r="E21" s="38"/>
      <c r="F21" s="38"/>
      <c r="G21" s="39"/>
    </row>
    <row r="22" ht="51.75" customHeight="1">
      <c r="A22" s="19" t="s">
        <v>457</v>
      </c>
      <c r="B22" s="19" t="s">
        <v>458</v>
      </c>
      <c r="C22" s="5" t="s">
        <v>459</v>
      </c>
      <c r="D22" s="5" t="s">
        <v>460</v>
      </c>
      <c r="E22" s="48">
        <v>2.0</v>
      </c>
      <c r="F22" s="5" t="s">
        <v>461</v>
      </c>
      <c r="G22" s="5" t="s">
        <v>348</v>
      </c>
    </row>
    <row r="23" ht="51.75" customHeight="1">
      <c r="A23" s="20" t="s">
        <v>457</v>
      </c>
      <c r="B23" s="20" t="s">
        <v>462</v>
      </c>
      <c r="C23" s="7" t="s">
        <v>463</v>
      </c>
      <c r="D23" s="7" t="s">
        <v>464</v>
      </c>
      <c r="E23" s="48">
        <v>2.0</v>
      </c>
      <c r="F23" s="7" t="s">
        <v>465</v>
      </c>
      <c r="G23" s="7" t="s">
        <v>215</v>
      </c>
    </row>
    <row r="24" ht="51.75" customHeight="1">
      <c r="A24" s="19" t="s">
        <v>457</v>
      </c>
      <c r="B24" s="19" t="s">
        <v>466</v>
      </c>
      <c r="C24" s="5" t="s">
        <v>467</v>
      </c>
      <c r="D24" s="5" t="s">
        <v>468</v>
      </c>
      <c r="E24" s="48">
        <v>2.0</v>
      </c>
      <c r="F24" s="5" t="s">
        <v>469</v>
      </c>
      <c r="G24" s="5" t="s">
        <v>215</v>
      </c>
    </row>
    <row r="25" ht="51.75" customHeight="1">
      <c r="A25" s="20" t="s">
        <v>457</v>
      </c>
      <c r="B25" s="20" t="s">
        <v>470</v>
      </c>
      <c r="C25" s="7" t="s">
        <v>471</v>
      </c>
      <c r="D25" s="7" t="s">
        <v>472</v>
      </c>
      <c r="E25" s="47">
        <v>1.0</v>
      </c>
      <c r="F25" s="7" t="s">
        <v>473</v>
      </c>
      <c r="G25" s="7" t="s">
        <v>307</v>
      </c>
    </row>
    <row r="26" ht="51.75" customHeight="1">
      <c r="A26" s="19" t="s">
        <v>457</v>
      </c>
      <c r="B26" s="19" t="s">
        <v>474</v>
      </c>
      <c r="C26" s="5" t="s">
        <v>475</v>
      </c>
      <c r="D26" s="5" t="s">
        <v>476</v>
      </c>
      <c r="E26" s="51">
        <v>3.0</v>
      </c>
      <c r="F26" s="5" t="s">
        <v>477</v>
      </c>
      <c r="G26" s="5" t="s">
        <v>187</v>
      </c>
    </row>
    <row r="27" ht="51.75" customHeight="1">
      <c r="A27" s="20" t="s">
        <v>457</v>
      </c>
      <c r="B27" s="20" t="s">
        <v>478</v>
      </c>
      <c r="C27" s="7" t="s">
        <v>479</v>
      </c>
      <c r="D27" s="7" t="s">
        <v>480</v>
      </c>
      <c r="E27" s="52">
        <v>4.0</v>
      </c>
      <c r="F27" s="7" t="s">
        <v>481</v>
      </c>
      <c r="G27" s="7" t="s">
        <v>280</v>
      </c>
    </row>
    <row r="28" ht="51.75" customHeight="1">
      <c r="A28" s="19" t="s">
        <v>457</v>
      </c>
      <c r="B28" s="19" t="s">
        <v>482</v>
      </c>
      <c r="C28" s="5" t="s">
        <v>483</v>
      </c>
      <c r="D28" s="5" t="s">
        <v>484</v>
      </c>
      <c r="E28" s="47">
        <v>1.0</v>
      </c>
      <c r="F28" s="5" t="s">
        <v>485</v>
      </c>
      <c r="G28" s="5" t="s">
        <v>273</v>
      </c>
    </row>
    <row r="29" ht="51.75" customHeight="1">
      <c r="A29" s="20" t="s">
        <v>457</v>
      </c>
      <c r="B29" s="20" t="s">
        <v>486</v>
      </c>
      <c r="C29" s="7" t="s">
        <v>487</v>
      </c>
      <c r="D29" s="7" t="s">
        <v>488</v>
      </c>
      <c r="E29" s="48">
        <v>2.0</v>
      </c>
      <c r="F29" s="7" t="s">
        <v>489</v>
      </c>
      <c r="G29" s="7" t="s">
        <v>206</v>
      </c>
    </row>
    <row r="30" ht="51.75" customHeight="1">
      <c r="A30" s="19" t="s">
        <v>457</v>
      </c>
      <c r="B30" s="19" t="s">
        <v>490</v>
      </c>
      <c r="C30" s="5" t="s">
        <v>491</v>
      </c>
      <c r="D30" s="5" t="s">
        <v>492</v>
      </c>
      <c r="E30" s="48">
        <v>2.0</v>
      </c>
      <c r="F30" s="5" t="s">
        <v>493</v>
      </c>
      <c r="G30" s="5" t="s">
        <v>283</v>
      </c>
    </row>
    <row r="31" ht="51.75" customHeight="1">
      <c r="A31" s="20" t="s">
        <v>457</v>
      </c>
      <c r="B31" s="20" t="s">
        <v>494</v>
      </c>
      <c r="C31" s="7" t="s">
        <v>495</v>
      </c>
      <c r="D31" s="7" t="s">
        <v>496</v>
      </c>
      <c r="E31" s="47">
        <v>1.0</v>
      </c>
      <c r="F31" s="7" t="s">
        <v>497</v>
      </c>
      <c r="G31" s="7" t="s">
        <v>256</v>
      </c>
    </row>
    <row r="32" ht="51.75" customHeight="1">
      <c r="A32" s="19" t="s">
        <v>457</v>
      </c>
      <c r="B32" s="19" t="s">
        <v>498</v>
      </c>
      <c r="C32" s="5" t="s">
        <v>499</v>
      </c>
      <c r="D32" s="5" t="s">
        <v>500</v>
      </c>
      <c r="E32" s="47">
        <v>1.0</v>
      </c>
      <c r="F32" s="5" t="s">
        <v>501</v>
      </c>
      <c r="G32" s="5" t="s">
        <v>248</v>
      </c>
    </row>
    <row r="33" ht="21.75" customHeight="1">
      <c r="A33" s="53" t="s">
        <v>502</v>
      </c>
      <c r="B33" s="38"/>
      <c r="C33" s="38"/>
      <c r="D33" s="38"/>
      <c r="E33" s="38"/>
      <c r="F33" s="38"/>
      <c r="G33" s="39"/>
    </row>
    <row r="34" ht="51.75" customHeight="1">
      <c r="A34" s="19" t="s">
        <v>503</v>
      </c>
      <c r="B34" s="19" t="s">
        <v>504</v>
      </c>
      <c r="C34" s="5" t="s">
        <v>505</v>
      </c>
      <c r="D34" s="5" t="s">
        <v>506</v>
      </c>
      <c r="E34" s="48">
        <v>2.0</v>
      </c>
      <c r="F34" s="5" t="s">
        <v>507</v>
      </c>
      <c r="G34" s="5" t="s">
        <v>291</v>
      </c>
    </row>
    <row r="35" ht="51.75" customHeight="1">
      <c r="A35" s="20" t="s">
        <v>503</v>
      </c>
      <c r="B35" s="20" t="s">
        <v>508</v>
      </c>
      <c r="C35" s="7" t="s">
        <v>509</v>
      </c>
      <c r="D35" s="7" t="s">
        <v>510</v>
      </c>
      <c r="E35" s="48">
        <v>2.0</v>
      </c>
      <c r="F35" s="7" t="s">
        <v>511</v>
      </c>
      <c r="G35" s="7" t="s">
        <v>291</v>
      </c>
    </row>
    <row r="36" ht="51.75" customHeight="1">
      <c r="A36" s="19" t="s">
        <v>503</v>
      </c>
      <c r="B36" s="19" t="s">
        <v>512</v>
      </c>
      <c r="C36" s="5" t="s">
        <v>513</v>
      </c>
      <c r="D36" s="5" t="s">
        <v>514</v>
      </c>
      <c r="E36" s="47">
        <v>1.0</v>
      </c>
      <c r="F36" s="5" t="s">
        <v>515</v>
      </c>
      <c r="G36" s="5" t="s">
        <v>516</v>
      </c>
    </row>
    <row r="37" ht="51.75" customHeight="1">
      <c r="A37" s="20" t="s">
        <v>503</v>
      </c>
      <c r="B37" s="20" t="s">
        <v>517</v>
      </c>
      <c r="C37" s="7" t="s">
        <v>518</v>
      </c>
      <c r="D37" s="7" t="s">
        <v>519</v>
      </c>
      <c r="E37" s="48">
        <v>2.0</v>
      </c>
      <c r="F37" s="7" t="s">
        <v>520</v>
      </c>
      <c r="G37" s="7" t="s">
        <v>521</v>
      </c>
    </row>
    <row r="38" ht="51.75" customHeight="1">
      <c r="A38" s="19" t="s">
        <v>503</v>
      </c>
      <c r="B38" s="19" t="s">
        <v>522</v>
      </c>
      <c r="C38" s="5" t="s">
        <v>523</v>
      </c>
      <c r="D38" s="5" t="s">
        <v>524</v>
      </c>
      <c r="E38" s="47">
        <v>1.0</v>
      </c>
      <c r="F38" s="5" t="s">
        <v>525</v>
      </c>
      <c r="G38" s="5" t="s">
        <v>526</v>
      </c>
    </row>
    <row r="39" ht="51.75" customHeight="1">
      <c r="A39" s="20" t="s">
        <v>503</v>
      </c>
      <c r="B39" s="20" t="s">
        <v>527</v>
      </c>
      <c r="C39" s="7" t="s">
        <v>528</v>
      </c>
      <c r="D39" s="7" t="s">
        <v>529</v>
      </c>
      <c r="E39" s="47">
        <v>1.0</v>
      </c>
      <c r="F39" s="7" t="s">
        <v>530</v>
      </c>
      <c r="G39" s="7" t="s">
        <v>531</v>
      </c>
    </row>
    <row r="40" ht="21.75" customHeight="1">
      <c r="A40" s="54" t="s">
        <v>532</v>
      </c>
      <c r="B40" s="38"/>
      <c r="C40" s="38"/>
      <c r="D40" s="38"/>
      <c r="E40" s="38"/>
      <c r="F40" s="38"/>
      <c r="G40" s="39"/>
    </row>
    <row r="41" ht="51.75" customHeight="1">
      <c r="A41" s="20" t="s">
        <v>533</v>
      </c>
      <c r="B41" s="20" t="s">
        <v>534</v>
      </c>
      <c r="C41" s="7" t="s">
        <v>535</v>
      </c>
      <c r="D41" s="7" t="s">
        <v>536</v>
      </c>
      <c r="E41" s="47">
        <v>1.0</v>
      </c>
      <c r="F41" s="7" t="s">
        <v>537</v>
      </c>
      <c r="G41" s="7" t="s">
        <v>256</v>
      </c>
    </row>
    <row r="42" ht="51.75" customHeight="1">
      <c r="A42" s="19" t="s">
        <v>533</v>
      </c>
      <c r="B42" s="19" t="s">
        <v>538</v>
      </c>
      <c r="C42" s="5" t="s">
        <v>539</v>
      </c>
      <c r="D42" s="5" t="s">
        <v>540</v>
      </c>
      <c r="E42" s="47">
        <v>1.0</v>
      </c>
      <c r="F42" s="5" t="s">
        <v>541</v>
      </c>
      <c r="G42" s="5" t="s">
        <v>256</v>
      </c>
    </row>
    <row r="43" ht="51.75" customHeight="1">
      <c r="A43" s="20" t="s">
        <v>533</v>
      </c>
      <c r="B43" s="20" t="s">
        <v>542</v>
      </c>
      <c r="C43" s="7" t="s">
        <v>543</v>
      </c>
      <c r="D43" s="7" t="s">
        <v>544</v>
      </c>
      <c r="E43" s="47">
        <v>1.0</v>
      </c>
      <c r="F43" s="7" t="s">
        <v>545</v>
      </c>
      <c r="G43" s="7" t="s">
        <v>256</v>
      </c>
    </row>
    <row r="44" ht="51.75" customHeight="1">
      <c r="A44" s="19" t="s">
        <v>533</v>
      </c>
      <c r="B44" s="19" t="s">
        <v>546</v>
      </c>
      <c r="C44" s="5" t="s">
        <v>547</v>
      </c>
      <c r="D44" s="5" t="s">
        <v>548</v>
      </c>
      <c r="E44" s="47">
        <v>1.0</v>
      </c>
      <c r="F44" s="5" t="s">
        <v>549</v>
      </c>
      <c r="G44" s="5" t="s">
        <v>550</v>
      </c>
    </row>
    <row r="45" ht="51.75" customHeight="1">
      <c r="A45" s="20" t="s">
        <v>533</v>
      </c>
      <c r="B45" s="20" t="s">
        <v>551</v>
      </c>
      <c r="C45" s="7" t="s">
        <v>552</v>
      </c>
      <c r="D45" s="7" t="s">
        <v>553</v>
      </c>
      <c r="E45" s="47">
        <v>1.0</v>
      </c>
      <c r="F45" s="7" t="s">
        <v>554</v>
      </c>
      <c r="G45" s="7" t="s">
        <v>256</v>
      </c>
    </row>
    <row r="46" ht="51.75" customHeight="1">
      <c r="A46" s="19" t="s">
        <v>533</v>
      </c>
      <c r="B46" s="19" t="s">
        <v>555</v>
      </c>
      <c r="C46" s="5" t="s">
        <v>556</v>
      </c>
      <c r="D46" s="5" t="s">
        <v>557</v>
      </c>
      <c r="E46" s="47">
        <v>1.0</v>
      </c>
      <c r="F46" s="5" t="s">
        <v>558</v>
      </c>
      <c r="G46" s="5" t="s">
        <v>559</v>
      </c>
    </row>
    <row r="47" ht="21.75" customHeight="1">
      <c r="A47" s="55" t="s">
        <v>560</v>
      </c>
      <c r="B47" s="38"/>
      <c r="C47" s="38"/>
      <c r="D47" s="38"/>
      <c r="E47" s="38"/>
      <c r="F47" s="38"/>
      <c r="G47" s="39"/>
    </row>
    <row r="48" ht="51.75" customHeight="1">
      <c r="A48" s="19" t="s">
        <v>561</v>
      </c>
      <c r="B48" s="19" t="s">
        <v>562</v>
      </c>
      <c r="C48" s="5" t="s">
        <v>563</v>
      </c>
      <c r="D48" s="5" t="s">
        <v>564</v>
      </c>
      <c r="E48" s="48">
        <v>2.0</v>
      </c>
      <c r="F48" s="5" t="s">
        <v>565</v>
      </c>
      <c r="G48" s="5" t="s">
        <v>197</v>
      </c>
    </row>
    <row r="49" ht="51.75" customHeight="1">
      <c r="A49" s="20" t="s">
        <v>561</v>
      </c>
      <c r="B49" s="20" t="s">
        <v>566</v>
      </c>
      <c r="C49" s="7" t="s">
        <v>567</v>
      </c>
      <c r="D49" s="7" t="s">
        <v>568</v>
      </c>
      <c r="E49" s="47">
        <v>1.0</v>
      </c>
      <c r="F49" s="7" t="s">
        <v>569</v>
      </c>
      <c r="G49" s="7" t="s">
        <v>570</v>
      </c>
    </row>
    <row r="50" ht="51.75" customHeight="1">
      <c r="A50" s="19" t="s">
        <v>561</v>
      </c>
      <c r="B50" s="19" t="s">
        <v>571</v>
      </c>
      <c r="C50" s="5" t="s">
        <v>572</v>
      </c>
      <c r="D50" s="5" t="s">
        <v>573</v>
      </c>
      <c r="E50" s="47">
        <v>1.0</v>
      </c>
      <c r="F50" s="5" t="s">
        <v>574</v>
      </c>
      <c r="G50" s="5" t="s">
        <v>256</v>
      </c>
    </row>
    <row r="51" ht="15.75" customHeight="1"/>
    <row r="52" ht="15.75" customHeight="1"/>
    <row r="53" ht="15.75" customHeight="1">
      <c r="A53" s="56" t="s">
        <v>575</v>
      </c>
      <c r="B53" s="38"/>
      <c r="C53" s="38"/>
      <c r="D53" s="38"/>
      <c r="E53" s="38"/>
      <c r="F53" s="38"/>
      <c r="G53" s="39"/>
    </row>
    <row r="54" ht="15.75" customHeight="1">
      <c r="A54" s="18" t="s">
        <v>29</v>
      </c>
      <c r="B54" s="18" t="s">
        <v>576</v>
      </c>
      <c r="C54" s="18" t="s">
        <v>31</v>
      </c>
    </row>
    <row r="55" ht="27.75" customHeight="1">
      <c r="A55" s="47">
        <v>1.0</v>
      </c>
      <c r="B55" s="42" t="s">
        <v>577</v>
      </c>
      <c r="C55" s="42" t="s">
        <v>578</v>
      </c>
    </row>
    <row r="56" ht="27.75" customHeight="1">
      <c r="A56" s="48">
        <v>2.0</v>
      </c>
      <c r="B56" s="44" t="s">
        <v>579</v>
      </c>
      <c r="C56" s="44" t="s">
        <v>580</v>
      </c>
    </row>
    <row r="57" ht="27.75" customHeight="1">
      <c r="A57" s="51">
        <v>3.0</v>
      </c>
      <c r="B57" s="45" t="s">
        <v>581</v>
      </c>
      <c r="C57" s="45" t="s">
        <v>582</v>
      </c>
    </row>
    <row r="58" ht="27.75" customHeight="1">
      <c r="A58" s="52">
        <v>4.0</v>
      </c>
      <c r="B58" s="57" t="s">
        <v>583</v>
      </c>
      <c r="C58" s="57" t="s">
        <v>584</v>
      </c>
    </row>
    <row r="59" ht="27.75" customHeight="1">
      <c r="A59" s="58">
        <v>5.0</v>
      </c>
      <c r="B59" s="5" t="s">
        <v>585</v>
      </c>
      <c r="C59" s="5" t="s">
        <v>586</v>
      </c>
    </row>
    <row r="60" ht="15.75" customHeight="1"/>
    <row r="61" ht="15.75" customHeight="1"/>
    <row r="62" ht="15.75" customHeight="1">
      <c r="A62" s="56" t="s">
        <v>587</v>
      </c>
      <c r="B62" s="38"/>
      <c r="C62" s="38"/>
      <c r="D62" s="38"/>
      <c r="E62" s="38"/>
      <c r="F62" s="38"/>
      <c r="G62" s="39"/>
    </row>
    <row r="63" ht="15.75" customHeight="1">
      <c r="A63" s="18" t="s">
        <v>588</v>
      </c>
      <c r="B63" s="18" t="s">
        <v>374</v>
      </c>
      <c r="C63" s="18" t="s">
        <v>589</v>
      </c>
      <c r="D63" s="18" t="s">
        <v>590</v>
      </c>
      <c r="E63" s="18" t="s">
        <v>591</v>
      </c>
    </row>
    <row r="64" ht="31.5" customHeight="1">
      <c r="A64" s="19">
        <v>1.0</v>
      </c>
      <c r="B64" s="5" t="s">
        <v>592</v>
      </c>
      <c r="C64" s="19" t="s">
        <v>348</v>
      </c>
      <c r="D64" s="5" t="s">
        <v>593</v>
      </c>
      <c r="E64" s="35" t="s">
        <v>594</v>
      </c>
    </row>
    <row r="65" ht="31.5" customHeight="1">
      <c r="A65" s="20">
        <v>2.0</v>
      </c>
      <c r="B65" s="7" t="s">
        <v>595</v>
      </c>
      <c r="C65" s="20" t="s">
        <v>364</v>
      </c>
      <c r="D65" s="7" t="s">
        <v>596</v>
      </c>
      <c r="E65" s="35" t="s">
        <v>594</v>
      </c>
    </row>
    <row r="66" ht="31.5" customHeight="1">
      <c r="A66" s="19">
        <v>3.0</v>
      </c>
      <c r="B66" s="5" t="s">
        <v>597</v>
      </c>
      <c r="C66" s="19" t="s">
        <v>382</v>
      </c>
      <c r="D66" s="5" t="s">
        <v>598</v>
      </c>
      <c r="E66" s="43" t="s">
        <v>599</v>
      </c>
    </row>
    <row r="67" ht="31.5" customHeight="1">
      <c r="A67" s="20">
        <v>4.0</v>
      </c>
      <c r="B67" s="7" t="s">
        <v>600</v>
      </c>
      <c r="C67" s="20" t="s">
        <v>256</v>
      </c>
      <c r="D67" s="7" t="s">
        <v>601</v>
      </c>
      <c r="E67" s="43" t="s">
        <v>599</v>
      </c>
    </row>
    <row r="68" ht="31.5" customHeight="1">
      <c r="A68" s="19">
        <v>5.0</v>
      </c>
      <c r="B68" s="5" t="s">
        <v>602</v>
      </c>
      <c r="C68" s="19" t="s">
        <v>248</v>
      </c>
      <c r="D68" s="5" t="s">
        <v>603</v>
      </c>
      <c r="E68" s="43" t="s">
        <v>599</v>
      </c>
    </row>
    <row r="69" ht="31.5" customHeight="1">
      <c r="A69" s="20">
        <v>6.0</v>
      </c>
      <c r="B69" s="7" t="s">
        <v>604</v>
      </c>
      <c r="C69" s="20" t="s">
        <v>299</v>
      </c>
      <c r="D69" s="7" t="s">
        <v>605</v>
      </c>
      <c r="E69" s="43" t="s">
        <v>599</v>
      </c>
    </row>
    <row r="70" ht="31.5" customHeight="1">
      <c r="A70" s="19">
        <v>7.0</v>
      </c>
      <c r="B70" s="5" t="s">
        <v>606</v>
      </c>
      <c r="C70" s="19" t="s">
        <v>291</v>
      </c>
      <c r="D70" s="5" t="s">
        <v>607</v>
      </c>
      <c r="E70" s="35" t="s">
        <v>594</v>
      </c>
    </row>
    <row r="71" ht="31.5" customHeight="1">
      <c r="A71" s="20">
        <v>8.0</v>
      </c>
      <c r="B71" s="7" t="s">
        <v>608</v>
      </c>
      <c r="C71" s="20" t="s">
        <v>187</v>
      </c>
      <c r="D71" s="7" t="s">
        <v>609</v>
      </c>
      <c r="E71" s="43" t="s">
        <v>599</v>
      </c>
    </row>
    <row r="72" ht="31.5" customHeight="1">
      <c r="A72" s="19">
        <v>9.0</v>
      </c>
      <c r="B72" s="5" t="s">
        <v>610</v>
      </c>
      <c r="C72" s="19" t="s">
        <v>238</v>
      </c>
      <c r="D72" s="5" t="s">
        <v>611</v>
      </c>
      <c r="E72" s="36" t="s">
        <v>612</v>
      </c>
    </row>
    <row r="73" ht="31.5" customHeight="1">
      <c r="A73" s="20">
        <v>10.0</v>
      </c>
      <c r="B73" s="7" t="s">
        <v>613</v>
      </c>
      <c r="C73" s="20" t="s">
        <v>273</v>
      </c>
      <c r="D73" s="7" t="s">
        <v>614</v>
      </c>
      <c r="E73" s="36" t="s">
        <v>612</v>
      </c>
    </row>
    <row r="74" ht="31.5" customHeight="1">
      <c r="A74" s="19">
        <v>11.0</v>
      </c>
      <c r="B74" s="5" t="s">
        <v>615</v>
      </c>
      <c r="C74" s="19" t="s">
        <v>283</v>
      </c>
      <c r="D74" s="5" t="s">
        <v>616</v>
      </c>
      <c r="E74" s="43" t="s">
        <v>599</v>
      </c>
    </row>
    <row r="75" ht="31.5" customHeight="1">
      <c r="A75" s="20">
        <v>12.0</v>
      </c>
      <c r="B75" s="7" t="s">
        <v>617</v>
      </c>
      <c r="C75" s="20" t="s">
        <v>433</v>
      </c>
      <c r="D75" s="7" t="s">
        <v>618</v>
      </c>
      <c r="E75" s="36" t="s">
        <v>612</v>
      </c>
    </row>
    <row r="76" ht="15.75" customHeight="1"/>
    <row r="77" ht="15.75" customHeight="1"/>
    <row r="78" ht="15.75" customHeight="1">
      <c r="A78" s="56" t="s">
        <v>619</v>
      </c>
      <c r="B78" s="38"/>
      <c r="C78" s="38"/>
      <c r="D78" s="38"/>
      <c r="E78" s="38"/>
      <c r="F78" s="38"/>
      <c r="G78" s="39"/>
    </row>
    <row r="79" ht="15.75" customHeight="1">
      <c r="A79" s="18" t="s">
        <v>620</v>
      </c>
      <c r="B79" s="18" t="s">
        <v>621</v>
      </c>
      <c r="C79" s="18" t="s">
        <v>98</v>
      </c>
    </row>
    <row r="80" ht="43.5" customHeight="1">
      <c r="A80" s="58" t="s">
        <v>622</v>
      </c>
      <c r="B80" s="58" t="s">
        <v>623</v>
      </c>
      <c r="C80" s="5" t="s">
        <v>624</v>
      </c>
    </row>
    <row r="81" ht="43.5" customHeight="1">
      <c r="A81" s="59" t="s">
        <v>625</v>
      </c>
      <c r="B81" s="59" t="s">
        <v>626</v>
      </c>
      <c r="C81" s="7" t="s">
        <v>627</v>
      </c>
    </row>
    <row r="82" ht="43.5" customHeight="1">
      <c r="A82" s="58" t="s">
        <v>628</v>
      </c>
      <c r="B82" s="58" t="s">
        <v>629</v>
      </c>
      <c r="C82" s="5" t="s">
        <v>630</v>
      </c>
    </row>
    <row r="83" ht="43.5" customHeight="1">
      <c r="A83" s="59" t="s">
        <v>631</v>
      </c>
      <c r="B83" s="59" t="s">
        <v>632</v>
      </c>
      <c r="C83" s="7" t="s">
        <v>633</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2:G62"/>
    <mergeCell ref="A78:G78"/>
    <mergeCell ref="A2:G2"/>
    <mergeCell ref="A11:G11"/>
    <mergeCell ref="A21:G21"/>
    <mergeCell ref="A33:G33"/>
    <mergeCell ref="A40:G40"/>
    <mergeCell ref="A47:G47"/>
    <mergeCell ref="A53:G53"/>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28.0"/>
    <col customWidth="1" min="3" max="4" width="40.0"/>
    <col customWidth="1" min="5" max="6" width="36.0"/>
    <col customWidth="1" min="7" max="7" width="22.0"/>
    <col customWidth="1" min="8" max="26" width="8.71"/>
  </cols>
  <sheetData>
    <row r="1" ht="36.0" customHeight="1">
      <c r="A1" s="60" t="s">
        <v>167</v>
      </c>
      <c r="B1" s="38"/>
      <c r="C1" s="38"/>
      <c r="D1" s="38"/>
      <c r="E1" s="38"/>
      <c r="F1" s="38"/>
      <c r="G1" s="39"/>
    </row>
    <row r="2" ht="79.5" customHeight="1">
      <c r="A2" s="19" t="s">
        <v>187</v>
      </c>
      <c r="B2" s="5" t="s">
        <v>188</v>
      </c>
      <c r="C2" s="5" t="s">
        <v>634</v>
      </c>
      <c r="D2" s="5" t="s">
        <v>635</v>
      </c>
      <c r="E2" s="5" t="s">
        <v>636</v>
      </c>
      <c r="F2" s="5" t="s">
        <v>637</v>
      </c>
      <c r="G2" s="5" t="s">
        <v>638</v>
      </c>
    </row>
    <row r="3" ht="79.5" customHeight="1">
      <c r="A3" s="20" t="s">
        <v>197</v>
      </c>
      <c r="B3" s="7" t="s">
        <v>198</v>
      </c>
      <c r="C3" s="7" t="s">
        <v>639</v>
      </c>
      <c r="D3" s="7" t="s">
        <v>640</v>
      </c>
      <c r="E3" s="7" t="s">
        <v>641</v>
      </c>
      <c r="F3" s="7" t="s">
        <v>642</v>
      </c>
      <c r="G3" s="7" t="s">
        <v>643</v>
      </c>
    </row>
    <row r="4" ht="79.5" customHeight="1">
      <c r="A4" s="19" t="s">
        <v>206</v>
      </c>
      <c r="B4" s="5" t="s">
        <v>644</v>
      </c>
      <c r="C4" s="5" t="s">
        <v>645</v>
      </c>
      <c r="D4" s="5" t="s">
        <v>646</v>
      </c>
      <c r="E4" s="5" t="s">
        <v>647</v>
      </c>
      <c r="F4" s="5" t="s">
        <v>648</v>
      </c>
      <c r="G4" s="5" t="s">
        <v>649</v>
      </c>
    </row>
    <row r="5" ht="79.5" customHeight="1">
      <c r="A5" s="20" t="s">
        <v>215</v>
      </c>
      <c r="B5" s="7" t="s">
        <v>650</v>
      </c>
      <c r="C5" s="7" t="s">
        <v>651</v>
      </c>
      <c r="D5" s="7" t="s">
        <v>652</v>
      </c>
      <c r="E5" s="7" t="s">
        <v>653</v>
      </c>
      <c r="F5" s="7" t="s">
        <v>654</v>
      </c>
      <c r="G5" s="7" t="s">
        <v>655</v>
      </c>
    </row>
    <row r="6" ht="79.5" customHeight="1">
      <c r="A6" s="19" t="s">
        <v>223</v>
      </c>
      <c r="B6" s="5" t="s">
        <v>656</v>
      </c>
      <c r="C6" s="5" t="s">
        <v>657</v>
      </c>
      <c r="D6" s="5" t="s">
        <v>658</v>
      </c>
      <c r="E6" s="5" t="s">
        <v>659</v>
      </c>
      <c r="F6" s="5" t="s">
        <v>660</v>
      </c>
      <c r="G6" s="5" t="s">
        <v>661</v>
      </c>
    </row>
    <row r="7" ht="79.5" customHeight="1">
      <c r="A7" s="20" t="s">
        <v>231</v>
      </c>
      <c r="B7" s="7" t="s">
        <v>232</v>
      </c>
      <c r="C7" s="7" t="s">
        <v>662</v>
      </c>
      <c r="D7" s="7" t="s">
        <v>663</v>
      </c>
      <c r="E7" s="7" t="s">
        <v>664</v>
      </c>
      <c r="F7" s="7" t="s">
        <v>665</v>
      </c>
      <c r="G7" s="7" t="s">
        <v>666</v>
      </c>
    </row>
    <row r="8" ht="79.5" customHeight="1">
      <c r="A8" s="19" t="s">
        <v>238</v>
      </c>
      <c r="B8" s="5" t="s">
        <v>667</v>
      </c>
      <c r="C8" s="5" t="s">
        <v>668</v>
      </c>
      <c r="D8" s="5" t="s">
        <v>669</v>
      </c>
      <c r="E8" s="5" t="s">
        <v>670</v>
      </c>
      <c r="F8" s="5" t="s">
        <v>671</v>
      </c>
      <c r="G8" s="5" t="s">
        <v>672</v>
      </c>
    </row>
    <row r="9" ht="79.5" customHeight="1">
      <c r="A9" s="20" t="s">
        <v>248</v>
      </c>
      <c r="B9" s="7" t="s">
        <v>249</v>
      </c>
      <c r="C9" s="7" t="s">
        <v>673</v>
      </c>
      <c r="D9" s="7" t="s">
        <v>674</v>
      </c>
      <c r="E9" s="7" t="s">
        <v>675</v>
      </c>
      <c r="F9" s="7" t="s">
        <v>676</v>
      </c>
      <c r="G9" s="7" t="s">
        <v>677</v>
      </c>
    </row>
    <row r="10" ht="79.5" customHeight="1">
      <c r="A10" s="19" t="s">
        <v>256</v>
      </c>
      <c r="B10" s="5" t="s">
        <v>678</v>
      </c>
      <c r="C10" s="5" t="s">
        <v>679</v>
      </c>
      <c r="D10" s="5" t="s">
        <v>680</v>
      </c>
      <c r="E10" s="5" t="s">
        <v>681</v>
      </c>
      <c r="F10" s="5" t="s">
        <v>682</v>
      </c>
      <c r="G10" s="5" t="s">
        <v>683</v>
      </c>
    </row>
    <row r="11" ht="79.5" customHeight="1">
      <c r="A11" s="20" t="s">
        <v>265</v>
      </c>
      <c r="B11" s="7" t="s">
        <v>684</v>
      </c>
      <c r="C11" s="7" t="s">
        <v>685</v>
      </c>
      <c r="D11" s="7" t="s">
        <v>686</v>
      </c>
      <c r="E11" s="7" t="s">
        <v>687</v>
      </c>
      <c r="F11" s="7" t="s">
        <v>688</v>
      </c>
      <c r="G11" s="7" t="s">
        <v>689</v>
      </c>
    </row>
    <row r="12" ht="79.5" customHeight="1">
      <c r="A12" s="19" t="s">
        <v>273</v>
      </c>
      <c r="B12" s="5" t="s">
        <v>690</v>
      </c>
      <c r="C12" s="5" t="s">
        <v>691</v>
      </c>
      <c r="D12" s="5" t="s">
        <v>692</v>
      </c>
      <c r="E12" s="5" t="s">
        <v>693</v>
      </c>
      <c r="F12" s="5" t="s">
        <v>694</v>
      </c>
      <c r="G12" s="5" t="s">
        <v>695</v>
      </c>
    </row>
    <row r="13" ht="79.5" customHeight="1">
      <c r="A13" s="20" t="s">
        <v>283</v>
      </c>
      <c r="B13" s="7" t="s">
        <v>696</v>
      </c>
      <c r="C13" s="7" t="s">
        <v>697</v>
      </c>
      <c r="D13" s="7" t="s">
        <v>698</v>
      </c>
      <c r="E13" s="7" t="s">
        <v>699</v>
      </c>
      <c r="F13" s="7" t="s">
        <v>700</v>
      </c>
      <c r="G13" s="7" t="s">
        <v>701</v>
      </c>
    </row>
    <row r="14" ht="79.5" customHeight="1">
      <c r="A14" s="19" t="s">
        <v>291</v>
      </c>
      <c r="B14" s="5" t="s">
        <v>292</v>
      </c>
      <c r="C14" s="5" t="s">
        <v>702</v>
      </c>
      <c r="D14" s="5" t="s">
        <v>703</v>
      </c>
      <c r="E14" s="5" t="s">
        <v>704</v>
      </c>
      <c r="F14" s="5" t="s">
        <v>705</v>
      </c>
      <c r="G14" s="5" t="s">
        <v>706</v>
      </c>
    </row>
    <row r="15" ht="79.5" customHeight="1">
      <c r="A15" s="20" t="s">
        <v>299</v>
      </c>
      <c r="B15" s="7" t="s">
        <v>707</v>
      </c>
      <c r="C15" s="7" t="s">
        <v>708</v>
      </c>
      <c r="D15" s="7" t="s">
        <v>709</v>
      </c>
      <c r="E15" s="7" t="s">
        <v>710</v>
      </c>
      <c r="F15" s="7" t="s">
        <v>711</v>
      </c>
      <c r="G15" s="7" t="s">
        <v>712</v>
      </c>
    </row>
    <row r="16" ht="79.5" customHeight="1">
      <c r="A16" s="19" t="s">
        <v>307</v>
      </c>
      <c r="B16" s="5" t="s">
        <v>308</v>
      </c>
      <c r="C16" s="5" t="s">
        <v>713</v>
      </c>
      <c r="D16" s="5" t="s">
        <v>714</v>
      </c>
      <c r="E16" s="5" t="s">
        <v>715</v>
      </c>
      <c r="F16" s="5" t="s">
        <v>716</v>
      </c>
      <c r="G16" s="5" t="s">
        <v>717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2026-06-13T21:43:45Z</dcterms:created>
  <dc:creator>openpyxl</dc:creator>
</cp:coreProperties>
</file>